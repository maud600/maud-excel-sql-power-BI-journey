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C\Desktop\"/>
    </mc:Choice>
  </mc:AlternateContent>
  <bookViews>
    <workbookView xWindow="0" yWindow="0" windowWidth="16815" windowHeight="7635" firstSheet="1" activeTab="3"/>
  </bookViews>
  <sheets>
    <sheet name="Sheet1" sheetId="2" r:id="rId1"/>
    <sheet name="PIVOT CATEGORY MENU" sheetId="3" r:id="rId2"/>
    <sheet name="PIVOT MONTHLY TREND" sheetId="4" r:id="rId3"/>
    <sheet name="SALES" sheetId="1" r:id="rId4"/>
  </sheets>
  <definedNames>
    <definedName name="Slicer_Region">#N/A</definedName>
    <definedName name="Slicer_Store">#N/A</definedName>
  </definedNames>
  <calcPr calcId="0"/>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alcChain>
</file>

<file path=xl/sharedStrings.xml><?xml version="1.0" encoding="utf-8"?>
<sst xmlns="http://schemas.openxmlformats.org/spreadsheetml/2006/main" count="3034" uniqueCount="97">
  <si>
    <t>OrderID</t>
  </si>
  <si>
    <t>Date</t>
  </si>
  <si>
    <t>Store</t>
  </si>
  <si>
    <t>ProductCategory</t>
  </si>
  <si>
    <t>ProductName</t>
  </si>
  <si>
    <t>UnitPrice</t>
  </si>
  <si>
    <t>Quantity</t>
  </si>
  <si>
    <t>CustomerID</t>
  </si>
  <si>
    <t>CustomerAge</t>
  </si>
  <si>
    <t>PaymentMethod</t>
  </si>
  <si>
    <t>Region</t>
  </si>
  <si>
    <t>Store A</t>
  </si>
  <si>
    <t>Smartphones</t>
  </si>
  <si>
    <t>iPhone 14</t>
  </si>
  <si>
    <t>C048</t>
  </si>
  <si>
    <t>Cash</t>
  </si>
  <si>
    <t>Kitwe</t>
  </si>
  <si>
    <t>Store C</t>
  </si>
  <si>
    <t>Laptops</t>
  </si>
  <si>
    <t>Dell XPS 13</t>
  </si>
  <si>
    <t>C033</t>
  </si>
  <si>
    <t>Credit Card</t>
  </si>
  <si>
    <t>Lusaka</t>
  </si>
  <si>
    <t>C001</t>
  </si>
  <si>
    <t>Accessories</t>
  </si>
  <si>
    <t>Keyboard</t>
  </si>
  <si>
    <t>C007</t>
  </si>
  <si>
    <t>Mobile Money</t>
  </si>
  <si>
    <t>Ndola</t>
  </si>
  <si>
    <t>C006</t>
  </si>
  <si>
    <t>Galaxy S22</t>
  </si>
  <si>
    <t>C050</t>
  </si>
  <si>
    <t>Store B</t>
  </si>
  <si>
    <t>C014</t>
  </si>
  <si>
    <t>Tablets</t>
  </si>
  <si>
    <t>iPad Air</t>
  </si>
  <si>
    <t>C011</t>
  </si>
  <si>
    <t>C015</t>
  </si>
  <si>
    <t>Charger</t>
  </si>
  <si>
    <t>C035</t>
  </si>
  <si>
    <t>C049</t>
  </si>
  <si>
    <t>C030</t>
  </si>
  <si>
    <t>C016</t>
  </si>
  <si>
    <t>Wireless Mouse</t>
  </si>
  <si>
    <t>C008</t>
  </si>
  <si>
    <t>C047</t>
  </si>
  <si>
    <t>C028</t>
  </si>
  <si>
    <t>C029</t>
  </si>
  <si>
    <t>C031</t>
  </si>
  <si>
    <t>C019</t>
  </si>
  <si>
    <t>C004</t>
  </si>
  <si>
    <t>C043</t>
  </si>
  <si>
    <t>C005</t>
  </si>
  <si>
    <t>C020</t>
  </si>
  <si>
    <t>C038</t>
  </si>
  <si>
    <t>C044</t>
  </si>
  <si>
    <t>C026</t>
  </si>
  <si>
    <t>C003</t>
  </si>
  <si>
    <t>C013</t>
  </si>
  <si>
    <t>C021</t>
  </si>
  <si>
    <t>C040</t>
  </si>
  <si>
    <t>C042</t>
  </si>
  <si>
    <t>C032</t>
  </si>
  <si>
    <t>C039</t>
  </si>
  <si>
    <t>C009</t>
  </si>
  <si>
    <t>C027</t>
  </si>
  <si>
    <t>C017</t>
  </si>
  <si>
    <t>C037</t>
  </si>
  <si>
    <t>C018</t>
  </si>
  <si>
    <t>C012</t>
  </si>
  <si>
    <t>C023</t>
  </si>
  <si>
    <t>C025</t>
  </si>
  <si>
    <t>C022</t>
  </si>
  <si>
    <t>C002</t>
  </si>
  <si>
    <t>C045</t>
  </si>
  <si>
    <t>C024</t>
  </si>
  <si>
    <t>C034</t>
  </si>
  <si>
    <t>C010</t>
  </si>
  <si>
    <t>C046</t>
  </si>
  <si>
    <t>C036</t>
  </si>
  <si>
    <t>C041</t>
  </si>
  <si>
    <t>Sales</t>
  </si>
  <si>
    <t>Sum of Sales</t>
  </si>
  <si>
    <t>Row Labels</t>
  </si>
  <si>
    <t>Grand Total</t>
  </si>
  <si>
    <t>Sum of Quantity</t>
  </si>
  <si>
    <t>Jan</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</si>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</sst>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quot;K&quot;#,##0.00"/>
  </numFmts>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0" fontId="0" fillId="0" borderId="0" xfId="0" applyNumberFormat="1"/>
    <xf numFmtId="0" fontId="0" fillId="0" borderId="0" xfId="0" pivotButton="1"/>
    <xf numFmtId="168" fontId="0" fillId="0" borderId="0" xfId="0" applyNumberFormat="1"/>
    <xf numFmtId="0" fontId="0" fillId="0" borderId="0" xfId="0" applyAlignment="1">
      <alignment horizontal="left"/>
    </xf>
    <xf numFmtId="1" fontId="0" fillId="0" borderId="0" xfId="0" applyNumberFormat="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8" formatCode="&quot;K&quot;#,##0.00"/>
    </dxf>
    <dxf>
      <numFmt numFmtId="2" formatCode="0.00"/>
    </dxf>
    <dxf>
      <numFmt numFmtId="1" formatCode="0"/>
    </dxf>
    <dxf>
      <numFmt numFmtId="169" formatCode="0.0"/>
    </dxf>
    <dxf>
      <numFmt numFmtId="1" formatCode="0"/>
    </dxf>
    <dxf>
      <numFmt numFmtId="168" formatCode="&quot;K&quot;#,##0.00"/>
    </dxf>
    <dxf>
      <numFmt numFmtId="2" formatCode="0.00"/>
    </dxf>
    <dxf>
      <numFmt numFmtId="169" formatCode="0.0"/>
    </dxf>
    <dxf>
      <numFmt numFmtId="2" formatCode="0.00"/>
    </dxf>
    <dxf>
      <numFmt numFmtId="168" formatCode="&quot;K&quot;#,##0.00"/>
    </dxf>
    <dxf>
      <numFmt numFmtId="2" formatCode="0.00"/>
    </dxf>
    <dxf>
      <numFmt numFmtId="2" formatCode="0.00"/>
    </dxf>
    <dxf>
      <numFmt numFmtId="34" formatCode="_-&quot;K&quot;* #,##0.00_-;\-&quot;K&quot;* #,##0.00_-;_-&quot;K&quot;* &quot;-&quot;??_-;_-@_-"/>
    </dxf>
    <dxf>
      <numFmt numFmtId="2" formatCode="0.00"/>
    </dxf>
    <dxf>
      <numFmt numFmtId="2" formatCode="0.00"/>
    </dxf>
    <dxf>
      <numFmt numFmtId="168" formatCode="&quot;K&quot;#,##0.00"/>
    </dxf>
    <dxf>
      <numFmt numFmtId="168" formatCode="&quot;K&quot;#,##0.00"/>
    </dxf>
    <dxf>
      <numFmt numFmtId="168" formatCode="&quot;K&quot;#,##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2025.xlsx]PIVOT CATEGORY MENU!PivotTable2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CATEGORY MENU'!$B$3</c:f>
              <c:strCache>
                <c:ptCount val="1"/>
                <c:pt idx="0">
                  <c:v>Sum of Sales</c:v>
                </c:pt>
              </c:strCache>
            </c:strRef>
          </c:tx>
          <c:spPr>
            <a:solidFill>
              <a:schemeClr val="accent1"/>
            </a:solidFill>
            <a:ln>
              <a:noFill/>
            </a:ln>
            <a:effectLst/>
          </c:spPr>
          <c:invertIfNegative val="0"/>
          <c:cat>
            <c:strRef>
              <c:f>'PIVOT CATEGORY MENU'!$A$4:$A$8</c:f>
              <c:strCache>
                <c:ptCount val="4"/>
                <c:pt idx="0">
                  <c:v>Laptops</c:v>
                </c:pt>
                <c:pt idx="1">
                  <c:v>Smartphones</c:v>
                </c:pt>
                <c:pt idx="2">
                  <c:v>Tablets</c:v>
                </c:pt>
                <c:pt idx="3">
                  <c:v>Accessories</c:v>
                </c:pt>
              </c:strCache>
            </c:strRef>
          </c:cat>
          <c:val>
            <c:numRef>
              <c:f>'PIVOT CATEGORY MENU'!$B$4:$B$8</c:f>
              <c:numCache>
                <c:formatCode>"K"#,##0.00</c:formatCode>
                <c:ptCount val="4"/>
                <c:pt idx="0">
                  <c:v>502228.32000000007</c:v>
                </c:pt>
                <c:pt idx="1">
                  <c:v>435400.03</c:v>
                </c:pt>
                <c:pt idx="2">
                  <c:v>135840.71999999997</c:v>
                </c:pt>
                <c:pt idx="3">
                  <c:v>25000.450000000008</c:v>
                </c:pt>
              </c:numCache>
            </c:numRef>
          </c:val>
        </c:ser>
        <c:ser>
          <c:idx val="1"/>
          <c:order val="1"/>
          <c:tx>
            <c:strRef>
              <c:f>'PIVOT CATEGORY MENU'!$C$3</c:f>
              <c:strCache>
                <c:ptCount val="1"/>
                <c:pt idx="0">
                  <c:v>Sum of Quantity</c:v>
                </c:pt>
              </c:strCache>
            </c:strRef>
          </c:tx>
          <c:spPr>
            <a:solidFill>
              <a:schemeClr val="accent2"/>
            </a:solidFill>
            <a:ln>
              <a:noFill/>
            </a:ln>
            <a:effectLst/>
          </c:spPr>
          <c:invertIfNegative val="0"/>
          <c:cat>
            <c:strRef>
              <c:f>'PIVOT CATEGORY MENU'!$A$4:$A$8</c:f>
              <c:strCache>
                <c:ptCount val="4"/>
                <c:pt idx="0">
                  <c:v>Laptops</c:v>
                </c:pt>
                <c:pt idx="1">
                  <c:v>Smartphones</c:v>
                </c:pt>
                <c:pt idx="2">
                  <c:v>Tablets</c:v>
                </c:pt>
                <c:pt idx="3">
                  <c:v>Accessories</c:v>
                </c:pt>
              </c:strCache>
            </c:strRef>
          </c:cat>
          <c:val>
            <c:numRef>
              <c:f>'PIVOT CATEGORY MENU'!$C$4:$C$8</c:f>
              <c:numCache>
                <c:formatCode>0</c:formatCode>
                <c:ptCount val="4"/>
                <c:pt idx="0">
                  <c:v>339</c:v>
                </c:pt>
                <c:pt idx="1">
                  <c:v>463</c:v>
                </c:pt>
                <c:pt idx="2">
                  <c:v>223</c:v>
                </c:pt>
                <c:pt idx="3">
                  <c:v>449</c:v>
                </c:pt>
              </c:numCache>
            </c:numRef>
          </c:val>
        </c:ser>
        <c:dLbls>
          <c:showLegendKey val="0"/>
          <c:showVal val="0"/>
          <c:showCatName val="0"/>
          <c:showSerName val="0"/>
          <c:showPercent val="0"/>
          <c:showBubbleSize val="0"/>
        </c:dLbls>
        <c:gapWidth val="219"/>
        <c:overlap val="-27"/>
        <c:axId val="1571974336"/>
        <c:axId val="1571962912"/>
      </c:barChart>
      <c:catAx>
        <c:axId val="157197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62912"/>
        <c:crosses val="autoZero"/>
        <c:auto val="1"/>
        <c:lblAlgn val="ctr"/>
        <c:lblOffset val="100"/>
        <c:noMultiLvlLbl val="0"/>
      </c:catAx>
      <c:valAx>
        <c:axId val="1571962912"/>
        <c:scaling>
          <c:orientation val="minMax"/>
        </c:scaling>
        <c:delete val="0"/>
        <c:axPos val="l"/>
        <c:majorGridlines>
          <c:spPr>
            <a:ln w="9525" cap="flat" cmpd="sng" algn="ctr">
              <a:solidFill>
                <a:schemeClr val="tx1">
                  <a:lumMod val="15000"/>
                  <a:lumOff val="85000"/>
                </a:schemeClr>
              </a:solidFill>
              <a:round/>
            </a:ln>
            <a:effectLst/>
          </c:spPr>
        </c:majorGridlines>
        <c:numFmt formatCode="&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74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2025.xlsx]PIVOT MONTHLY TREND!PivotTable3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MONTHLY TREND'!$A$4:$A$15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 MONTHLY TREND'!$B$4:$B$15</c:f>
              <c:numCache>
                <c:formatCode>General</c:formatCode>
                <c:ptCount val="11"/>
                <c:pt idx="0">
                  <c:v>13574.28</c:v>
                </c:pt>
                <c:pt idx="1">
                  <c:v>15128.14</c:v>
                </c:pt>
                <c:pt idx="2">
                  <c:v>1458.46</c:v>
                </c:pt>
                <c:pt idx="3">
                  <c:v>2826.5699999999997</c:v>
                </c:pt>
                <c:pt idx="4">
                  <c:v>21682.29</c:v>
                </c:pt>
                <c:pt idx="5">
                  <c:v>5993.8</c:v>
                </c:pt>
                <c:pt idx="6">
                  <c:v>6756.93</c:v>
                </c:pt>
                <c:pt idx="7">
                  <c:v>4708.34</c:v>
                </c:pt>
                <c:pt idx="8">
                  <c:v>5036.58</c:v>
                </c:pt>
                <c:pt idx="9">
                  <c:v>19347.420000000002</c:v>
                </c:pt>
                <c:pt idx="10">
                  <c:v>971.07999999999993</c:v>
                </c:pt>
              </c:numCache>
            </c:numRef>
          </c:val>
          <c:smooth val="0"/>
        </c:ser>
        <c:dLbls>
          <c:showLegendKey val="0"/>
          <c:showVal val="0"/>
          <c:showCatName val="0"/>
          <c:showSerName val="0"/>
          <c:showPercent val="0"/>
          <c:showBubbleSize val="0"/>
        </c:dLbls>
        <c:marker val="1"/>
        <c:smooth val="0"/>
        <c:axId val="1523457456"/>
        <c:axId val="1523453104"/>
      </c:lineChart>
      <c:catAx>
        <c:axId val="15234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53104"/>
        <c:crosses val="autoZero"/>
        <c:auto val="1"/>
        <c:lblAlgn val="ctr"/>
        <c:lblOffset val="100"/>
        <c:noMultiLvlLbl val="0"/>
      </c:catAx>
      <c:valAx>
        <c:axId val="152345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57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14287</xdr:colOff>
      <xdr:row>2</xdr:row>
      <xdr:rowOff>4762</xdr:rowOff>
    </xdr:from>
    <xdr:to>
      <xdr:col>10</xdr:col>
      <xdr:colOff>319087</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xdr:colOff>
      <xdr:row>4</xdr:row>
      <xdr:rowOff>157162</xdr:rowOff>
    </xdr:from>
    <xdr:to>
      <xdr:col>9</xdr:col>
      <xdr:colOff>328612</xdr:colOff>
      <xdr:row>19</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285750</xdr:colOff>
      <xdr:row>0</xdr:row>
      <xdr:rowOff>85725</xdr:rowOff>
    </xdr:from>
    <xdr:to>
      <xdr:col>12</xdr:col>
      <xdr:colOff>285750</xdr:colOff>
      <xdr:row>13</xdr:row>
      <xdr:rowOff>133350</xdr:rowOff>
    </xdr:to>
    <mc:AlternateContent xmlns:mc="http://schemas.openxmlformats.org/markup-compatibility/2006">
      <mc:Choice xmlns:a14="http://schemas.microsoft.com/office/drawing/2010/main" Requires="a14">
        <xdr:graphicFrame macro="">
          <xdr:nvGraphicFramePr>
            <xdr:cNvPr id="5" name="Store"/>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6238875"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219075</xdr:colOff>
      <xdr:row>1</xdr:row>
      <xdr:rowOff>95250</xdr:rowOff>
    </xdr:from>
    <xdr:to>
      <xdr:col>15</xdr:col>
      <xdr:colOff>219075</xdr:colOff>
      <xdr:row>14</xdr:row>
      <xdr:rowOff>142875</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01000"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044.704777314815" createdVersion="5" refreshedVersion="5" minRefreshableVersion="3" recordCount="500">
  <cacheSource type="worksheet">
    <worksheetSource name="Table3"/>
  </cacheSource>
  <cacheFields count="12">
    <cacheField name="OrderID" numFmtId="0">
      <sharedItems containsSemiMixedTypes="0" containsString="0" containsNumber="1" containsInteger="1" minValue="1001" maxValue="1500"/>
    </cacheField>
    <cacheField name="Date" numFmtId="14">
      <sharedItems containsSemiMixedTypes="0" containsNonDate="0" containsDate="1" containsString="0" minDate="2025-01-01T00:00:00" maxDate="2026-01-01T00:00:00" count="270">
        <d v="2025-11-24T00:00:00"/>
        <d v="2025-02-14T00:00:00"/>
        <d v="2025-11-29T00:00:00"/>
        <d v="2025-03-21T00:00:00"/>
        <d v="2025-01-23T00:00:00"/>
        <d v="2025-07-05T00:00:00"/>
        <d v="2025-02-21T00:00:00"/>
        <d v="2025-11-28T00:00:00"/>
        <d v="2025-02-03T00:00:00"/>
        <d v="2025-11-26T00:00:00"/>
        <d v="2025-10-26T00:00:00"/>
        <d v="2025-03-23T00:00:00"/>
        <d v="2025-01-06T00:00:00"/>
        <d v="2025-03-22T00:00:00"/>
        <d v="2025-09-08T00:00:00"/>
        <d v="2025-02-10T00:00:00"/>
        <d v="2025-10-09T00:00:00"/>
        <d v="2025-07-24T00:00:00"/>
        <d v="2025-10-29T00:00:00"/>
        <d v="2025-02-06T00:00:00"/>
        <d v="2025-08-31T00:00:00"/>
        <d v="2025-12-11T00:00:00"/>
        <d v="2025-03-13T00:00:00"/>
        <d v="2025-10-04T00:00:00"/>
        <d v="2025-03-26T00:00:00"/>
        <d v="2025-10-12T00:00:00"/>
        <d v="2025-06-10T00:00:00"/>
        <d v="2025-04-06T00:00:00"/>
        <d v="2025-08-03T00:00:00"/>
        <d v="2025-03-09T00:00:00"/>
        <d v="2025-10-06T00:00:00"/>
        <d v="2025-05-16T00:00:00"/>
        <d v="2025-12-18T00:00:00"/>
        <d v="2025-01-02T00:00:00"/>
        <d v="2025-01-05T00:00:00"/>
        <d v="2025-06-07T00:00:00"/>
        <d v="2025-10-14T00:00:00"/>
        <d v="2025-06-20T00:00:00"/>
        <d v="2025-08-29T00:00:00"/>
        <d v="2025-05-23T00:00:00"/>
        <d v="2025-01-15T00:00:00"/>
        <d v="2025-09-24T00:00:00"/>
        <d v="2025-03-05T00:00:00"/>
        <d v="2025-04-09T00:00:00"/>
        <d v="2025-01-01T00:00:00"/>
        <d v="2025-04-20T00:00:00"/>
        <d v="2025-05-01T00:00:00"/>
        <d v="2025-08-22T00:00:00"/>
        <d v="2025-01-03T00:00:00"/>
        <d v="2025-03-04T00:00:00"/>
        <d v="2025-11-10T00:00:00"/>
        <d v="2025-05-13T00:00:00"/>
        <d v="2025-05-27T00:00:00"/>
        <d v="2025-12-28T00:00:00"/>
        <d v="2025-10-27T00:00:00"/>
        <d v="2025-07-19T00:00:00"/>
        <d v="2025-10-31T00:00:00"/>
        <d v="2025-04-19T00:00:00"/>
        <d v="2025-01-27T00:00:00"/>
        <d v="2025-01-11T00:00:00"/>
        <d v="2025-07-08T00:00:00"/>
        <d v="2025-10-22T00:00:00"/>
        <d v="2025-02-22T00:00:00"/>
        <d v="2025-07-09T00:00:00"/>
        <d v="2025-08-24T00:00:00"/>
        <d v="2025-11-09T00:00:00"/>
        <d v="2025-06-24T00:00:00"/>
        <d v="2025-07-28T00:00:00"/>
        <d v="2025-12-21T00:00:00"/>
        <d v="2025-06-30T00:00:00"/>
        <d v="2025-12-20T00:00:00"/>
        <d v="2025-04-10T00:00:00"/>
        <d v="2025-05-30T00:00:00"/>
        <d v="2025-08-14T00:00:00"/>
        <d v="2025-11-19T00:00:00"/>
        <d v="2025-11-07T00:00:00"/>
        <d v="2025-08-08T00:00:00"/>
        <d v="2025-02-11T00:00:00"/>
        <d v="2025-04-29T00:00:00"/>
        <d v="2025-11-17T00:00:00"/>
        <d v="2025-03-14T00:00:00"/>
        <d v="2025-12-25T00:00:00"/>
        <d v="2025-06-15T00:00:00"/>
        <d v="2025-05-18T00:00:00"/>
        <d v="2025-09-09T00:00:00"/>
        <d v="2025-12-06T00:00:00"/>
        <d v="2025-07-26T00:00:00"/>
        <d v="2025-11-15T00:00:00"/>
        <d v="2025-04-26T00:00:00"/>
        <d v="2025-08-01T00:00:00"/>
        <d v="2025-03-11T00:00:00"/>
        <d v="2025-10-28T00:00:00"/>
        <d v="2025-03-19T00:00:00"/>
        <d v="2025-09-27T00:00:00"/>
        <d v="2025-11-16T00:00:00"/>
        <d v="2025-09-07T00:00:00"/>
        <d v="2025-11-21T00:00:00"/>
        <d v="2025-07-03T00:00:00"/>
        <d v="2025-07-15T00:00:00"/>
        <d v="2025-12-08T00:00:00"/>
        <d v="2025-02-24T00:00:00"/>
        <d v="2025-11-22T00:00:00"/>
        <d v="2025-07-07T00:00:00"/>
        <d v="2025-02-28T00:00:00"/>
        <d v="2025-10-13T00:00:00"/>
        <d v="2025-05-15T00:00:00"/>
        <d v="2025-06-17T00:00:00"/>
        <d v="2025-01-24T00:00:00"/>
        <d v="2025-12-23T00:00:00"/>
        <d v="2025-01-17T00:00:00"/>
        <d v="2025-11-27T00:00:00"/>
        <d v="2025-11-02T00:00:00"/>
        <d v="2025-04-17T00:00:00"/>
        <d v="2025-03-08T00:00:00"/>
        <d v="2025-08-16T00:00:00"/>
        <d v="2025-12-31T00:00:00"/>
        <d v="2025-12-02T00:00:00"/>
        <d v="2025-08-21T00:00:00"/>
        <d v="2025-01-31T00:00:00"/>
        <d v="2025-08-05T00:00:00"/>
        <d v="2025-09-04T00:00:00"/>
        <d v="2025-10-15T00:00:00"/>
        <d v="2025-06-23T00:00:00"/>
        <d v="2025-02-16T00:00:00"/>
        <d v="2025-10-18T00:00:00"/>
        <d v="2025-08-06T00:00:00"/>
        <d v="2025-12-14T00:00:00"/>
        <d v="2025-09-30T00:00:00"/>
        <d v="2025-03-29T00:00:00"/>
        <d v="2025-07-22T00:00:00"/>
        <d v="2025-10-17T00:00:00"/>
        <d v="2025-06-05T00:00:00"/>
        <d v="2025-01-22T00:00:00"/>
        <d v="2025-08-19T00:00:00"/>
        <d v="2025-08-13T00:00:00"/>
        <d v="2025-12-03T00:00:00"/>
        <d v="2025-07-20T00:00:00"/>
        <d v="2025-12-17T00:00:00"/>
        <d v="2025-09-06T00:00:00"/>
        <d v="2025-08-18T00:00:00"/>
        <d v="2025-05-09T00:00:00"/>
        <d v="2025-03-24T00:00:00"/>
        <d v="2025-11-12T00:00:00"/>
        <d v="2025-05-28T00:00:00"/>
        <d v="2025-08-02T00:00:00"/>
        <d v="2025-09-17T00:00:00"/>
        <d v="2025-02-04T00:00:00"/>
        <d v="2025-08-23T00:00:00"/>
        <d v="2025-08-12T00:00:00"/>
        <d v="2025-09-23T00:00:00"/>
        <d v="2025-03-12T00:00:00"/>
        <d v="2025-07-18T00:00:00"/>
        <d v="2025-04-13T00:00:00"/>
        <d v="2025-03-31T00:00:00"/>
        <d v="2025-09-03T00:00:00"/>
        <d v="2025-12-15T00:00:00"/>
        <d v="2025-10-23T00:00:00"/>
        <d v="2025-06-04T00:00:00"/>
        <d v="2025-08-26T00:00:00"/>
        <d v="2025-05-29T00:00:00"/>
        <d v="2025-07-25T00:00:00"/>
        <d v="2025-05-24T00:00:00"/>
        <d v="2025-06-03T00:00:00"/>
        <d v="2025-01-10T00:00:00"/>
        <d v="2025-02-01T00:00:00"/>
        <d v="2025-06-02T00:00:00"/>
        <d v="2025-05-21T00:00:00"/>
        <d v="2025-02-15T00:00:00"/>
        <d v="2025-07-23T00:00:00"/>
        <d v="2025-06-21T00:00:00"/>
        <d v="2025-06-19T00:00:00"/>
        <d v="2025-12-12T00:00:00"/>
        <d v="2025-09-02T00:00:00"/>
        <d v="2025-05-07T00:00:00"/>
        <d v="2025-04-22T00:00:00"/>
        <d v="2025-08-30T00:00:00"/>
        <d v="2025-07-13T00:00:00"/>
        <d v="2025-03-07T00:00:00"/>
        <d v="2025-07-14T00:00:00"/>
        <d v="2025-11-11T00:00:00"/>
        <d v="2025-05-06T00:00:00"/>
        <d v="2025-04-30T00:00:00"/>
        <d v="2025-02-17T00:00:00"/>
        <d v="2025-04-07T00:00:00"/>
        <d v="2025-04-08T00:00:00"/>
        <d v="2025-06-14T00:00:00"/>
        <d v="2025-10-11T00:00:00"/>
        <d v="2025-09-13T00:00:00"/>
        <d v="2025-02-08T00:00:00"/>
        <d v="2025-09-29T00:00:00"/>
        <d v="2025-05-04T00:00:00"/>
        <d v="2025-06-11T00:00:00"/>
        <d v="2025-06-27T00:00:00"/>
        <d v="2025-12-05T00:00:00"/>
        <d v="2025-02-02T00:00:00"/>
        <d v="2025-09-11T00:00:00"/>
        <d v="2025-06-18T00:00:00"/>
        <d v="2025-07-06T00:00:00"/>
        <d v="2025-08-25T00:00:00"/>
        <d v="2025-02-25T00:00:00"/>
        <d v="2025-10-25T00:00:00"/>
        <d v="2025-06-26T00:00:00"/>
        <d v="2025-12-27T00:00:00"/>
        <d v="2025-09-28T00:00:00"/>
        <d v="2025-03-30T00:00:00"/>
        <d v="2025-06-06T00:00:00"/>
        <d v="2025-11-14T00:00:00"/>
        <d v="2025-09-19T00:00:00"/>
        <d v="2025-03-28T00:00:00"/>
        <d v="2025-07-30T00:00:00"/>
        <d v="2025-12-13T00:00:00"/>
        <d v="2025-12-16T00:00:00"/>
        <d v="2025-04-14T00:00:00"/>
        <d v="2025-12-07T00:00:00"/>
        <d v="2025-05-22T00:00:00"/>
        <d v="2025-11-01T00:00:00"/>
        <d v="2025-01-21T00:00:00"/>
        <d v="2025-08-11T00:00:00"/>
        <d v="2025-03-25T00:00:00"/>
        <d v="2025-10-30T00:00:00"/>
        <d v="2025-01-13T00:00:00"/>
        <d v="2025-07-21T00:00:00"/>
        <d v="2025-11-05T00:00:00"/>
        <d v="2025-05-14T00:00:00"/>
        <d v="2025-05-17T00:00:00"/>
        <d v="2025-01-29T00:00:00"/>
        <d v="2025-04-01T00:00:00"/>
        <d v="2025-02-07T00:00:00"/>
        <d v="2025-12-29T00:00:00"/>
        <d v="2025-10-07T00:00:00"/>
        <d v="2025-01-18T00:00:00"/>
        <d v="2025-01-28T00:00:00"/>
        <d v="2025-11-23T00:00:00"/>
        <d v="2025-08-27T00:00:00"/>
        <d v="2025-09-01T00:00:00"/>
        <d v="2025-10-20T00:00:00"/>
        <d v="2025-03-06T00:00:00"/>
        <d v="2025-06-09T00:00:00"/>
        <d v="2025-09-26T00:00:00"/>
        <d v="2025-07-04T00:00:00"/>
        <d v="2025-06-16T00:00:00"/>
        <d v="2025-11-04T00:00:00"/>
        <d v="2025-01-19T00:00:00"/>
        <d v="2025-01-30T00:00:00"/>
        <d v="2025-07-11T00:00:00"/>
        <d v="2025-09-16T00:00:00"/>
        <d v="2025-01-25T00:00:00"/>
        <d v="2025-04-12T00:00:00"/>
        <d v="2025-10-08T00:00:00"/>
        <d v="2025-02-26T00:00:00"/>
        <d v="2025-12-09T00:00:00"/>
        <d v="2025-03-18T00:00:00"/>
        <d v="2025-12-01T00:00:00"/>
        <d v="2025-04-24T00:00:00"/>
        <d v="2025-04-21T00:00:00"/>
        <d v="2025-09-20T00:00:00"/>
        <d v="2025-03-01T00:00:00"/>
        <d v="2025-04-25T00:00:00"/>
        <d v="2025-08-15T00:00:00"/>
        <d v="2025-11-13T00:00:00"/>
        <d v="2025-07-27T00:00:00"/>
        <d v="2025-06-12T00:00:00"/>
        <d v="2025-09-22T00:00:00"/>
        <d v="2025-10-21T00:00:00"/>
        <d v="2025-03-15T00:00:00"/>
        <d v="2025-11-03T00:00:00"/>
        <d v="2025-10-02T00:00:00"/>
        <d v="2025-09-05T00:00:00"/>
        <d v="2025-06-28T00:00:00"/>
        <d v="2025-12-26T00:00:00"/>
      </sharedItems>
      <fieldGroup base="1">
        <rangePr groupBy="months" startDate="2025-01-01T00:00:00" endDate="2026-01-01T00:00:00"/>
        <groupItems count="14">
          <s v="&lt;01/01/2025"/>
          <s v="Jan"/>
          <s v="Feb"/>
          <s v="Mar"/>
          <s v="Apr"/>
          <s v="May"/>
          <s v="Jun"/>
          <s v="Jul"/>
          <s v="Aug"/>
          <s v="Sep"/>
          <s v="Oct"/>
          <s v="Nov"/>
          <s v="Dec"/>
          <s v="&gt;01/01/2026"/>
        </groupItems>
      </fieldGroup>
    </cacheField>
    <cacheField name="Store" numFmtId="0">
      <sharedItems count="3">
        <s v="Store A"/>
        <s v="Store C"/>
        <s v="Store B"/>
      </sharedItems>
    </cacheField>
    <cacheField name="ProductCategory" numFmtId="0">
      <sharedItems count="4">
        <s v="Smartphones"/>
        <s v="Laptops"/>
        <s v="Accessories"/>
        <s v="Tablets"/>
      </sharedItems>
    </cacheField>
    <cacheField name="ProductName" numFmtId="0">
      <sharedItems/>
    </cacheField>
    <cacheField name="UnitPrice" numFmtId="0">
      <sharedItems containsSemiMixedTypes="0" containsString="0" containsNumber="1" minValue="13.3" maxValue="1986.88"/>
    </cacheField>
    <cacheField name="Quantity" numFmtId="0">
      <sharedItems containsSemiMixedTypes="0" containsString="0" containsNumber="1" containsInteger="1" minValue="1" maxValue="5"/>
    </cacheField>
    <cacheField name="Sales" numFmtId="2">
      <sharedItems containsSemiMixedTypes="0" containsString="0" containsNumber="1" minValue="13.3" maxValue="9595.9"/>
    </cacheField>
    <cacheField name="CustomerID" numFmtId="0">
      <sharedItems/>
    </cacheField>
    <cacheField name="CustomerAge" numFmtId="0">
      <sharedItems containsSemiMixedTypes="0" containsString="0" containsNumber="1" containsInteger="1" minValue="18" maxValue="65"/>
    </cacheField>
    <cacheField name="PaymentMethod" numFmtId="0">
      <sharedItems/>
    </cacheField>
    <cacheField name="Region" numFmtId="0">
      <sharedItems count="3">
        <s v="Kitwe"/>
        <s v="Lusaka"/>
        <s v="Ndol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001"/>
    <x v="0"/>
    <x v="0"/>
    <x v="0"/>
    <s v="iPhone 14"/>
    <n v="822.45"/>
    <n v="2"/>
    <n v="1644.9"/>
    <s v="C048"/>
    <n v="24"/>
    <s v="Cash"/>
    <x v="0"/>
  </r>
  <r>
    <n v="1002"/>
    <x v="1"/>
    <x v="1"/>
    <x v="1"/>
    <s v="Dell XPS 13"/>
    <n v="1093.7"/>
    <n v="2"/>
    <n v="2187.4"/>
    <s v="C033"/>
    <n v="56"/>
    <s v="Credit Card"/>
    <x v="1"/>
  </r>
  <r>
    <n v="1003"/>
    <x v="2"/>
    <x v="1"/>
    <x v="1"/>
    <s v="Dell XPS 13"/>
    <n v="1449.21"/>
    <n v="3"/>
    <n v="4347.63"/>
    <s v="C001"/>
    <n v="28"/>
    <s v="Cash"/>
    <x v="1"/>
  </r>
  <r>
    <n v="1004"/>
    <x v="3"/>
    <x v="0"/>
    <x v="2"/>
    <s v="Keyboard"/>
    <n v="19.2"/>
    <n v="4"/>
    <n v="76.8"/>
    <s v="C007"/>
    <n v="40"/>
    <s v="Mobile Money"/>
    <x v="2"/>
  </r>
  <r>
    <n v="1005"/>
    <x v="4"/>
    <x v="1"/>
    <x v="1"/>
    <s v="Dell XPS 13"/>
    <n v="1973.12"/>
    <n v="4"/>
    <n v="7892.48"/>
    <s v="C006"/>
    <n v="53"/>
    <s v="Credit Card"/>
    <x v="2"/>
  </r>
  <r>
    <n v="1006"/>
    <x v="5"/>
    <x v="1"/>
    <x v="0"/>
    <s v="Galaxy S22"/>
    <n v="722.91"/>
    <n v="2"/>
    <n v="1445.82"/>
    <s v="C050"/>
    <n v="36"/>
    <s v="Mobile Money"/>
    <x v="0"/>
  </r>
  <r>
    <n v="1007"/>
    <x v="6"/>
    <x v="2"/>
    <x v="0"/>
    <s v="iPhone 14"/>
    <n v="781.33"/>
    <n v="3"/>
    <n v="2343.9900000000002"/>
    <s v="C014"/>
    <n v="60"/>
    <s v="Credit Card"/>
    <x v="0"/>
  </r>
  <r>
    <n v="1008"/>
    <x v="7"/>
    <x v="0"/>
    <x v="3"/>
    <s v="iPad Air"/>
    <n v="613.66"/>
    <n v="2"/>
    <n v="1227.32"/>
    <s v="C011"/>
    <n v="47"/>
    <s v="Credit Card"/>
    <x v="0"/>
  </r>
  <r>
    <n v="1009"/>
    <x v="0"/>
    <x v="1"/>
    <x v="3"/>
    <s v="iPad Air"/>
    <n v="737.14"/>
    <n v="1"/>
    <n v="737.14"/>
    <s v="C015"/>
    <n v="20"/>
    <s v="Mobile Money"/>
    <x v="1"/>
  </r>
  <r>
    <n v="1010"/>
    <x v="8"/>
    <x v="0"/>
    <x v="2"/>
    <s v="Charger"/>
    <n v="88.87"/>
    <n v="3"/>
    <n v="266.61"/>
    <s v="C014"/>
    <n v="59"/>
    <s v="Credit Card"/>
    <x v="0"/>
  </r>
  <r>
    <n v="1011"/>
    <x v="9"/>
    <x v="2"/>
    <x v="0"/>
    <s v="Galaxy S22"/>
    <n v="823.31"/>
    <n v="5"/>
    <n v="4116.5499999999993"/>
    <s v="C035"/>
    <n v="34"/>
    <s v="Mobile Money"/>
    <x v="1"/>
  </r>
  <r>
    <n v="1012"/>
    <x v="10"/>
    <x v="2"/>
    <x v="1"/>
    <s v="Dell XPS 13"/>
    <n v="1509.53"/>
    <n v="1"/>
    <n v="1509.53"/>
    <s v="C049"/>
    <n v="21"/>
    <s v="Mobile Money"/>
    <x v="1"/>
  </r>
  <r>
    <n v="1013"/>
    <x v="11"/>
    <x v="1"/>
    <x v="1"/>
    <s v="Dell XPS 13"/>
    <n v="1384.77"/>
    <n v="5"/>
    <n v="6923.85"/>
    <s v="C030"/>
    <n v="51"/>
    <s v="Credit Card"/>
    <x v="2"/>
  </r>
  <r>
    <n v="1014"/>
    <x v="12"/>
    <x v="1"/>
    <x v="2"/>
    <s v="Charger"/>
    <n v="89.63"/>
    <n v="3"/>
    <n v="268.89"/>
    <s v="C050"/>
    <n v="59"/>
    <s v="Credit Card"/>
    <x v="1"/>
  </r>
  <r>
    <n v="1015"/>
    <x v="13"/>
    <x v="2"/>
    <x v="0"/>
    <s v="iPhone 14"/>
    <n v="1185.94"/>
    <n v="2"/>
    <n v="2371.88"/>
    <s v="C033"/>
    <n v="24"/>
    <s v="Mobile Money"/>
    <x v="1"/>
  </r>
  <r>
    <n v="1016"/>
    <x v="0"/>
    <x v="1"/>
    <x v="3"/>
    <s v="iPad Air"/>
    <n v="549.57000000000005"/>
    <n v="2"/>
    <n v="1099.1400000000001"/>
    <s v="C035"/>
    <n v="51"/>
    <s v="Mobile Money"/>
    <x v="2"/>
  </r>
  <r>
    <n v="1017"/>
    <x v="14"/>
    <x v="0"/>
    <x v="0"/>
    <s v="iPhone 14"/>
    <n v="1139.3599999999999"/>
    <n v="3"/>
    <n v="3418.08"/>
    <s v="C016"/>
    <n v="21"/>
    <s v="Credit Card"/>
    <x v="2"/>
  </r>
  <r>
    <n v="1018"/>
    <x v="15"/>
    <x v="0"/>
    <x v="2"/>
    <s v="Wireless Mouse"/>
    <n v="98.02"/>
    <n v="5"/>
    <n v="490.09999999999997"/>
    <s v="C050"/>
    <n v="26"/>
    <s v="Credit Card"/>
    <x v="1"/>
  </r>
  <r>
    <n v="1019"/>
    <x v="16"/>
    <x v="0"/>
    <x v="0"/>
    <s v="iPhone 14"/>
    <n v="1182.18"/>
    <n v="5"/>
    <n v="5910.9000000000005"/>
    <s v="C049"/>
    <n v="64"/>
    <s v="Cash"/>
    <x v="2"/>
  </r>
  <r>
    <n v="1020"/>
    <x v="17"/>
    <x v="1"/>
    <x v="3"/>
    <s v="iPad Air"/>
    <n v="759.85"/>
    <n v="4"/>
    <n v="3039.4"/>
    <s v="C008"/>
    <n v="33"/>
    <s v="Credit Card"/>
    <x v="1"/>
  </r>
  <r>
    <n v="1021"/>
    <x v="18"/>
    <x v="1"/>
    <x v="0"/>
    <s v="Galaxy S22"/>
    <n v="703.6"/>
    <n v="1"/>
    <n v="703.6"/>
    <s v="C015"/>
    <n v="22"/>
    <s v="Mobile Money"/>
    <x v="0"/>
  </r>
  <r>
    <n v="1022"/>
    <x v="19"/>
    <x v="1"/>
    <x v="0"/>
    <s v="iPhone 14"/>
    <n v="807.12"/>
    <n v="2"/>
    <n v="1614.24"/>
    <s v="C047"/>
    <n v="54"/>
    <s v="Cash"/>
    <x v="1"/>
  </r>
  <r>
    <n v="1023"/>
    <x v="20"/>
    <x v="2"/>
    <x v="0"/>
    <s v="Galaxy S22"/>
    <n v="1029.49"/>
    <n v="3"/>
    <n v="3088.4700000000003"/>
    <s v="C028"/>
    <n v="44"/>
    <s v="Credit Card"/>
    <x v="2"/>
  </r>
  <r>
    <n v="1024"/>
    <x v="21"/>
    <x v="1"/>
    <x v="2"/>
    <s v="Wireless Mouse"/>
    <n v="15.46"/>
    <n v="3"/>
    <n v="46.38"/>
    <s v="C007"/>
    <n v="33"/>
    <s v="Credit Card"/>
    <x v="2"/>
  </r>
  <r>
    <n v="1025"/>
    <x v="22"/>
    <x v="2"/>
    <x v="0"/>
    <s v="iPhone 14"/>
    <n v="824.9"/>
    <n v="1"/>
    <n v="824.9"/>
    <s v="C029"/>
    <n v="53"/>
    <s v="Credit Card"/>
    <x v="2"/>
  </r>
  <r>
    <n v="1026"/>
    <x v="23"/>
    <x v="0"/>
    <x v="2"/>
    <s v="Wireless Mouse"/>
    <n v="24.97"/>
    <n v="4"/>
    <n v="99.88"/>
    <s v="C031"/>
    <n v="31"/>
    <s v="Mobile Money"/>
    <x v="0"/>
  </r>
  <r>
    <n v="1027"/>
    <x v="24"/>
    <x v="2"/>
    <x v="0"/>
    <s v="iPhone 14"/>
    <n v="832.6"/>
    <n v="4"/>
    <n v="3330.4"/>
    <s v="C019"/>
    <n v="45"/>
    <s v="Cash"/>
    <x v="2"/>
  </r>
  <r>
    <n v="1028"/>
    <x v="25"/>
    <x v="1"/>
    <x v="2"/>
    <s v="Wireless Mouse"/>
    <n v="27.09"/>
    <n v="2"/>
    <n v="54.18"/>
    <s v="C004"/>
    <n v="55"/>
    <s v="Mobile Money"/>
    <x v="1"/>
  </r>
  <r>
    <n v="1029"/>
    <x v="26"/>
    <x v="0"/>
    <x v="0"/>
    <s v="iPhone 14"/>
    <n v="951.43"/>
    <n v="5"/>
    <n v="4757.1499999999996"/>
    <s v="C011"/>
    <n v="21"/>
    <s v="Mobile Money"/>
    <x v="1"/>
  </r>
  <r>
    <n v="1030"/>
    <x v="27"/>
    <x v="0"/>
    <x v="3"/>
    <s v="iPad Air"/>
    <n v="561.51"/>
    <n v="5"/>
    <n v="2807.55"/>
    <s v="C016"/>
    <n v="55"/>
    <s v="Cash"/>
    <x v="2"/>
  </r>
  <r>
    <n v="1031"/>
    <x v="28"/>
    <x v="1"/>
    <x v="3"/>
    <s v="iPad Air"/>
    <n v="773.88"/>
    <n v="2"/>
    <n v="1547.76"/>
    <s v="C043"/>
    <n v="63"/>
    <s v="Credit Card"/>
    <x v="1"/>
  </r>
  <r>
    <n v="1032"/>
    <x v="29"/>
    <x v="1"/>
    <x v="3"/>
    <s v="iPad Air"/>
    <n v="526.47"/>
    <n v="1"/>
    <n v="526.47"/>
    <s v="C001"/>
    <n v="47"/>
    <s v="Cash"/>
    <x v="2"/>
  </r>
  <r>
    <n v="1033"/>
    <x v="6"/>
    <x v="0"/>
    <x v="1"/>
    <s v="Dell XPS 13"/>
    <n v="1132.46"/>
    <n v="3"/>
    <n v="3397.38"/>
    <s v="C005"/>
    <n v="33"/>
    <s v="Credit Card"/>
    <x v="1"/>
  </r>
  <r>
    <n v="1034"/>
    <x v="30"/>
    <x v="1"/>
    <x v="1"/>
    <s v="Dell XPS 13"/>
    <n v="1667.86"/>
    <n v="5"/>
    <n v="8339.2999999999993"/>
    <s v="C020"/>
    <n v="60"/>
    <s v="Credit Card"/>
    <x v="0"/>
  </r>
  <r>
    <n v="1035"/>
    <x v="31"/>
    <x v="0"/>
    <x v="2"/>
    <s v="Charger"/>
    <n v="59.79"/>
    <n v="3"/>
    <n v="179.37"/>
    <s v="C019"/>
    <n v="56"/>
    <s v="Credit Card"/>
    <x v="1"/>
  </r>
  <r>
    <n v="1036"/>
    <x v="32"/>
    <x v="1"/>
    <x v="2"/>
    <s v="Charger"/>
    <n v="53.97"/>
    <n v="1"/>
    <n v="53.97"/>
    <s v="C006"/>
    <n v="58"/>
    <s v="Credit Card"/>
    <x v="1"/>
  </r>
  <r>
    <n v="1037"/>
    <x v="33"/>
    <x v="2"/>
    <x v="2"/>
    <s v="Charger"/>
    <n v="98.18"/>
    <n v="2"/>
    <n v="196.36"/>
    <s v="C048"/>
    <n v="46"/>
    <s v="Cash"/>
    <x v="1"/>
  </r>
  <r>
    <n v="1038"/>
    <x v="34"/>
    <x v="0"/>
    <x v="0"/>
    <s v="Galaxy S22"/>
    <n v="972.8"/>
    <n v="3"/>
    <n v="2918.3999999999996"/>
    <s v="C038"/>
    <n v="53"/>
    <s v="Credit Card"/>
    <x v="1"/>
  </r>
  <r>
    <n v="1039"/>
    <x v="35"/>
    <x v="2"/>
    <x v="2"/>
    <s v="Wireless Mouse"/>
    <n v="90.9"/>
    <n v="2"/>
    <n v="181.8"/>
    <s v="C044"/>
    <n v="33"/>
    <s v="Cash"/>
    <x v="1"/>
  </r>
  <r>
    <n v="1040"/>
    <x v="36"/>
    <x v="2"/>
    <x v="2"/>
    <s v="Charger"/>
    <n v="23.91"/>
    <n v="2"/>
    <n v="47.82"/>
    <s v="C011"/>
    <n v="29"/>
    <s v="Mobile Money"/>
    <x v="1"/>
  </r>
  <r>
    <n v="1041"/>
    <x v="37"/>
    <x v="2"/>
    <x v="2"/>
    <s v="Charger"/>
    <n v="82.97"/>
    <n v="3"/>
    <n v="248.91"/>
    <s v="C011"/>
    <n v="62"/>
    <s v="Credit Card"/>
    <x v="0"/>
  </r>
  <r>
    <n v="1042"/>
    <x v="38"/>
    <x v="0"/>
    <x v="0"/>
    <s v="iPhone 14"/>
    <n v="874.83"/>
    <n v="2"/>
    <n v="1749.66"/>
    <s v="C015"/>
    <n v="19"/>
    <s v="Cash"/>
    <x v="1"/>
  </r>
  <r>
    <n v="1043"/>
    <x v="39"/>
    <x v="0"/>
    <x v="2"/>
    <s v="Keyboard"/>
    <n v="41.6"/>
    <n v="5"/>
    <n v="208"/>
    <s v="C026"/>
    <n v="61"/>
    <s v="Mobile Money"/>
    <x v="2"/>
  </r>
  <r>
    <n v="1044"/>
    <x v="40"/>
    <x v="0"/>
    <x v="2"/>
    <s v="Keyboard"/>
    <n v="26.07"/>
    <n v="3"/>
    <n v="78.210000000000008"/>
    <s v="C003"/>
    <n v="24"/>
    <s v="Cash"/>
    <x v="1"/>
  </r>
  <r>
    <n v="1045"/>
    <x v="26"/>
    <x v="2"/>
    <x v="3"/>
    <s v="iPad Air"/>
    <n v="554.08000000000004"/>
    <n v="5"/>
    <n v="2770.4"/>
    <s v="C013"/>
    <n v="34"/>
    <s v="Credit Card"/>
    <x v="1"/>
  </r>
  <r>
    <n v="1046"/>
    <x v="41"/>
    <x v="1"/>
    <x v="3"/>
    <s v="iPad Air"/>
    <n v="545.69000000000005"/>
    <n v="1"/>
    <n v="545.69000000000005"/>
    <s v="C043"/>
    <n v="39"/>
    <s v="Cash"/>
    <x v="2"/>
  </r>
  <r>
    <n v="1047"/>
    <x v="42"/>
    <x v="1"/>
    <x v="2"/>
    <s v="Charger"/>
    <n v="37.840000000000003"/>
    <n v="4"/>
    <n v="151.36000000000001"/>
    <s v="C021"/>
    <n v="43"/>
    <s v="Cash"/>
    <x v="2"/>
  </r>
  <r>
    <n v="1048"/>
    <x v="43"/>
    <x v="2"/>
    <x v="3"/>
    <s v="iPad Air"/>
    <n v="670.93"/>
    <n v="2"/>
    <n v="1341.86"/>
    <s v="C040"/>
    <n v="54"/>
    <s v="Credit Card"/>
    <x v="2"/>
  </r>
  <r>
    <n v="1049"/>
    <x v="44"/>
    <x v="2"/>
    <x v="0"/>
    <s v="iPhone 14"/>
    <n v="1092.8800000000001"/>
    <n v="5"/>
    <n v="5464.4000000000005"/>
    <s v="C042"/>
    <n v="38"/>
    <s v="Credit Card"/>
    <x v="1"/>
  </r>
  <r>
    <n v="1050"/>
    <x v="45"/>
    <x v="1"/>
    <x v="1"/>
    <s v="Dell XPS 13"/>
    <n v="1658.85"/>
    <n v="3"/>
    <n v="4976.5499999999993"/>
    <s v="C033"/>
    <n v="60"/>
    <s v="Cash"/>
    <x v="1"/>
  </r>
  <r>
    <n v="1051"/>
    <x v="46"/>
    <x v="1"/>
    <x v="1"/>
    <s v="Dell XPS 13"/>
    <n v="1147.3499999999999"/>
    <n v="1"/>
    <n v="1147.3499999999999"/>
    <s v="C016"/>
    <n v="48"/>
    <s v="Cash"/>
    <x v="2"/>
  </r>
  <r>
    <n v="1052"/>
    <x v="47"/>
    <x v="2"/>
    <x v="2"/>
    <s v="Charger"/>
    <n v="27.5"/>
    <n v="4"/>
    <n v="110"/>
    <s v="C032"/>
    <n v="43"/>
    <s v="Credit Card"/>
    <x v="2"/>
  </r>
  <r>
    <n v="1053"/>
    <x v="48"/>
    <x v="0"/>
    <x v="2"/>
    <s v="Wireless Mouse"/>
    <n v="25.83"/>
    <n v="5"/>
    <n v="129.14999999999998"/>
    <s v="C030"/>
    <n v="21"/>
    <s v="Cash"/>
    <x v="0"/>
  </r>
  <r>
    <n v="1054"/>
    <x v="49"/>
    <x v="2"/>
    <x v="0"/>
    <s v="iPhone 14"/>
    <n v="1033.79"/>
    <n v="5"/>
    <n v="5168.95"/>
    <s v="C039"/>
    <n v="38"/>
    <s v="Mobile Money"/>
    <x v="0"/>
  </r>
  <r>
    <n v="1055"/>
    <x v="50"/>
    <x v="1"/>
    <x v="2"/>
    <s v="Keyboard"/>
    <n v="84.75"/>
    <n v="5"/>
    <n v="423.75"/>
    <s v="C029"/>
    <n v="28"/>
    <s v="Mobile Money"/>
    <x v="1"/>
  </r>
  <r>
    <n v="1056"/>
    <x v="51"/>
    <x v="0"/>
    <x v="2"/>
    <s v="Keyboard"/>
    <n v="78.92"/>
    <n v="5"/>
    <n v="394.6"/>
    <s v="C032"/>
    <n v="58"/>
    <s v="Credit Card"/>
    <x v="1"/>
  </r>
  <r>
    <n v="1057"/>
    <x v="52"/>
    <x v="0"/>
    <x v="0"/>
    <s v="iPhone 14"/>
    <n v="1146.51"/>
    <n v="1"/>
    <n v="1146.51"/>
    <s v="C009"/>
    <n v="27"/>
    <s v="Credit Card"/>
    <x v="2"/>
  </r>
  <r>
    <n v="1058"/>
    <x v="53"/>
    <x v="0"/>
    <x v="0"/>
    <s v="iPhone 14"/>
    <n v="865.44"/>
    <n v="4"/>
    <n v="3461.76"/>
    <s v="C027"/>
    <n v="21"/>
    <s v="Credit Card"/>
    <x v="1"/>
  </r>
  <r>
    <n v="1059"/>
    <x v="54"/>
    <x v="1"/>
    <x v="0"/>
    <s v="iPhone 14"/>
    <n v="938.49"/>
    <n v="3"/>
    <n v="2815.4700000000003"/>
    <s v="C020"/>
    <n v="42"/>
    <s v="Mobile Money"/>
    <x v="0"/>
  </r>
  <r>
    <n v="1060"/>
    <x v="28"/>
    <x v="1"/>
    <x v="2"/>
    <s v="Charger"/>
    <n v="81.99"/>
    <n v="2"/>
    <n v="163.98"/>
    <s v="C032"/>
    <n v="32"/>
    <s v="Credit Card"/>
    <x v="1"/>
  </r>
  <r>
    <n v="1061"/>
    <x v="55"/>
    <x v="2"/>
    <x v="3"/>
    <s v="iPad Air"/>
    <n v="689.67"/>
    <n v="4"/>
    <n v="2758.68"/>
    <s v="C009"/>
    <n v="57"/>
    <s v="Cash"/>
    <x v="0"/>
  </r>
  <r>
    <n v="1062"/>
    <x v="56"/>
    <x v="1"/>
    <x v="3"/>
    <s v="iPad Air"/>
    <n v="657.1"/>
    <n v="2"/>
    <n v="1314.2"/>
    <s v="C030"/>
    <n v="29"/>
    <s v="Credit Card"/>
    <x v="1"/>
  </r>
  <r>
    <n v="1063"/>
    <x v="57"/>
    <x v="2"/>
    <x v="1"/>
    <s v="Dell XPS 13"/>
    <n v="1278.26"/>
    <n v="4"/>
    <n v="5113.04"/>
    <s v="C017"/>
    <n v="23"/>
    <s v="Credit Card"/>
    <x v="2"/>
  </r>
  <r>
    <n v="1064"/>
    <x v="58"/>
    <x v="2"/>
    <x v="0"/>
    <s v="Galaxy S22"/>
    <n v="1090.6199999999999"/>
    <n v="1"/>
    <n v="1090.6199999999999"/>
    <s v="C049"/>
    <n v="19"/>
    <s v="Mobile Money"/>
    <x v="1"/>
  </r>
  <r>
    <n v="1065"/>
    <x v="59"/>
    <x v="1"/>
    <x v="0"/>
    <s v="Galaxy S22"/>
    <n v="936.78"/>
    <n v="1"/>
    <n v="936.78"/>
    <s v="C037"/>
    <n v="31"/>
    <s v="Credit Card"/>
    <x v="1"/>
  </r>
  <r>
    <n v="1066"/>
    <x v="60"/>
    <x v="0"/>
    <x v="3"/>
    <s v="iPad Air"/>
    <n v="711.12"/>
    <n v="2"/>
    <n v="1422.24"/>
    <s v="C020"/>
    <n v="24"/>
    <s v="Cash"/>
    <x v="0"/>
  </r>
  <r>
    <n v="1067"/>
    <x v="61"/>
    <x v="1"/>
    <x v="2"/>
    <s v="Keyboard"/>
    <n v="45.7"/>
    <n v="2"/>
    <n v="91.4"/>
    <s v="C005"/>
    <n v="55"/>
    <s v="Cash"/>
    <x v="2"/>
  </r>
  <r>
    <n v="1068"/>
    <x v="62"/>
    <x v="1"/>
    <x v="2"/>
    <s v="Charger"/>
    <n v="64.040000000000006"/>
    <n v="1"/>
    <n v="64.040000000000006"/>
    <s v="C037"/>
    <n v="20"/>
    <s v="Credit Card"/>
    <x v="1"/>
  </r>
  <r>
    <n v="1069"/>
    <x v="63"/>
    <x v="0"/>
    <x v="1"/>
    <s v="Dell XPS 13"/>
    <n v="1012.65"/>
    <n v="4"/>
    <n v="4050.6"/>
    <s v="C032"/>
    <n v="24"/>
    <s v="Credit Card"/>
    <x v="1"/>
  </r>
  <r>
    <n v="1070"/>
    <x v="64"/>
    <x v="1"/>
    <x v="0"/>
    <s v="Galaxy S22"/>
    <n v="1066.9000000000001"/>
    <n v="3"/>
    <n v="3200.7000000000003"/>
    <s v="C040"/>
    <n v="52"/>
    <s v="Mobile Money"/>
    <x v="1"/>
  </r>
  <r>
    <n v="1071"/>
    <x v="56"/>
    <x v="2"/>
    <x v="1"/>
    <s v="Dell XPS 13"/>
    <n v="1830.73"/>
    <n v="1"/>
    <n v="1830.73"/>
    <s v="C018"/>
    <n v="46"/>
    <s v="Credit Card"/>
    <x v="1"/>
  </r>
  <r>
    <n v="1072"/>
    <x v="65"/>
    <x v="1"/>
    <x v="1"/>
    <s v="Dell XPS 13"/>
    <n v="1494.31"/>
    <n v="3"/>
    <n v="4482.93"/>
    <s v="C012"/>
    <n v="49"/>
    <s v="Credit Card"/>
    <x v="2"/>
  </r>
  <r>
    <n v="1073"/>
    <x v="66"/>
    <x v="2"/>
    <x v="2"/>
    <s v="Charger"/>
    <n v="89.21"/>
    <n v="5"/>
    <n v="446.04999999999995"/>
    <s v="C001"/>
    <n v="51"/>
    <s v="Mobile Money"/>
    <x v="1"/>
  </r>
  <r>
    <n v="1074"/>
    <x v="67"/>
    <x v="2"/>
    <x v="3"/>
    <s v="iPad Air"/>
    <n v="676.24"/>
    <n v="4"/>
    <n v="2704.96"/>
    <s v="C029"/>
    <n v="19"/>
    <s v="Credit Card"/>
    <x v="1"/>
  </r>
  <r>
    <n v="1075"/>
    <x v="68"/>
    <x v="0"/>
    <x v="1"/>
    <s v="Dell XPS 13"/>
    <n v="1473.26"/>
    <n v="5"/>
    <n v="7366.3"/>
    <s v="C023"/>
    <n v="45"/>
    <s v="Mobile Money"/>
    <x v="2"/>
  </r>
  <r>
    <n v="1076"/>
    <x v="69"/>
    <x v="1"/>
    <x v="1"/>
    <s v="Dell XPS 13"/>
    <n v="1251.4000000000001"/>
    <n v="1"/>
    <n v="1251.4000000000001"/>
    <s v="C047"/>
    <n v="30"/>
    <s v="Credit Card"/>
    <x v="2"/>
  </r>
  <r>
    <n v="1077"/>
    <x v="70"/>
    <x v="0"/>
    <x v="0"/>
    <s v="iPhone 14"/>
    <n v="838.25"/>
    <n v="5"/>
    <n v="4191.25"/>
    <s v="C049"/>
    <n v="51"/>
    <s v="Cash"/>
    <x v="0"/>
  </r>
  <r>
    <n v="1078"/>
    <x v="71"/>
    <x v="2"/>
    <x v="0"/>
    <s v="Galaxy S22"/>
    <n v="851.13"/>
    <n v="5"/>
    <n v="4255.6499999999996"/>
    <s v="C009"/>
    <n v="35"/>
    <s v="Credit Card"/>
    <x v="1"/>
  </r>
  <r>
    <n v="1079"/>
    <x v="72"/>
    <x v="1"/>
    <x v="2"/>
    <s v="Charger"/>
    <n v="88.16"/>
    <n v="4"/>
    <n v="352.64"/>
    <s v="C007"/>
    <n v="18"/>
    <s v="Cash"/>
    <x v="1"/>
  </r>
  <r>
    <n v="1080"/>
    <x v="73"/>
    <x v="2"/>
    <x v="0"/>
    <s v="Galaxy S22"/>
    <n v="826.24"/>
    <n v="4"/>
    <n v="3304.96"/>
    <s v="C008"/>
    <n v="22"/>
    <s v="Credit Card"/>
    <x v="1"/>
  </r>
  <r>
    <n v="1081"/>
    <x v="74"/>
    <x v="1"/>
    <x v="0"/>
    <s v="Galaxy S22"/>
    <n v="1105.57"/>
    <n v="3"/>
    <n v="3316.71"/>
    <s v="C006"/>
    <n v="33"/>
    <s v="Credit Card"/>
    <x v="2"/>
  </r>
  <r>
    <n v="1082"/>
    <x v="75"/>
    <x v="1"/>
    <x v="2"/>
    <s v="Wireless Mouse"/>
    <n v="79.81"/>
    <n v="4"/>
    <n v="319.24"/>
    <s v="C029"/>
    <n v="46"/>
    <s v="Credit Card"/>
    <x v="2"/>
  </r>
  <r>
    <n v="1083"/>
    <x v="76"/>
    <x v="2"/>
    <x v="3"/>
    <s v="iPad Air"/>
    <n v="643.85"/>
    <n v="1"/>
    <n v="643.85"/>
    <s v="C049"/>
    <n v="31"/>
    <s v="Cash"/>
    <x v="1"/>
  </r>
  <r>
    <n v="1084"/>
    <x v="77"/>
    <x v="0"/>
    <x v="0"/>
    <s v="Galaxy S22"/>
    <n v="778.27"/>
    <n v="4"/>
    <n v="3113.08"/>
    <s v="C029"/>
    <n v="62"/>
    <s v="Cash"/>
    <x v="1"/>
  </r>
  <r>
    <n v="1085"/>
    <x v="78"/>
    <x v="2"/>
    <x v="2"/>
    <s v="Charger"/>
    <n v="87.36"/>
    <n v="1"/>
    <n v="87.36"/>
    <s v="C044"/>
    <n v="32"/>
    <s v="Mobile Money"/>
    <x v="2"/>
  </r>
  <r>
    <n v="1086"/>
    <x v="79"/>
    <x v="1"/>
    <x v="3"/>
    <s v="iPad Air"/>
    <n v="570.05999999999995"/>
    <n v="5"/>
    <n v="2850.2999999999997"/>
    <s v="C015"/>
    <n v="59"/>
    <s v="Credit Card"/>
    <x v="1"/>
  </r>
  <r>
    <n v="1087"/>
    <x v="80"/>
    <x v="0"/>
    <x v="0"/>
    <s v="iPhone 14"/>
    <n v="997.52"/>
    <n v="5"/>
    <n v="4987.6000000000004"/>
    <s v="C019"/>
    <n v="46"/>
    <s v="Credit Card"/>
    <x v="2"/>
  </r>
  <r>
    <n v="1088"/>
    <x v="81"/>
    <x v="2"/>
    <x v="2"/>
    <s v="Charger"/>
    <n v="58.6"/>
    <n v="4"/>
    <n v="234.4"/>
    <s v="C006"/>
    <n v="56"/>
    <s v="Credit Card"/>
    <x v="1"/>
  </r>
  <r>
    <n v="1089"/>
    <x v="82"/>
    <x v="1"/>
    <x v="0"/>
    <s v="Galaxy S22"/>
    <n v="814.46"/>
    <n v="5"/>
    <n v="4072.3"/>
    <s v="C038"/>
    <n v="19"/>
    <s v="Mobile Money"/>
    <x v="2"/>
  </r>
  <r>
    <n v="1090"/>
    <x v="83"/>
    <x v="1"/>
    <x v="0"/>
    <s v="Galaxy S22"/>
    <n v="935.25"/>
    <n v="4"/>
    <n v="3741"/>
    <s v="C018"/>
    <n v="29"/>
    <s v="Mobile Money"/>
    <x v="1"/>
  </r>
  <r>
    <n v="1091"/>
    <x v="84"/>
    <x v="0"/>
    <x v="1"/>
    <s v="Dell XPS 13"/>
    <n v="1333.31"/>
    <n v="1"/>
    <n v="1333.31"/>
    <s v="C011"/>
    <n v="39"/>
    <s v="Credit Card"/>
    <x v="1"/>
  </r>
  <r>
    <n v="1092"/>
    <x v="85"/>
    <x v="2"/>
    <x v="2"/>
    <s v="Charger"/>
    <n v="13.3"/>
    <n v="1"/>
    <n v="13.3"/>
    <s v="C021"/>
    <n v="34"/>
    <s v="Credit Card"/>
    <x v="0"/>
  </r>
  <r>
    <n v="1093"/>
    <x v="86"/>
    <x v="1"/>
    <x v="2"/>
    <s v="Wireless Mouse"/>
    <n v="69.19"/>
    <n v="5"/>
    <n v="345.95"/>
    <s v="C030"/>
    <n v="44"/>
    <s v="Credit Card"/>
    <x v="2"/>
  </r>
  <r>
    <n v="1094"/>
    <x v="87"/>
    <x v="2"/>
    <x v="3"/>
    <s v="iPad Air"/>
    <n v="481.42"/>
    <n v="5"/>
    <n v="2407.1"/>
    <s v="C009"/>
    <n v="36"/>
    <s v="Credit Card"/>
    <x v="2"/>
  </r>
  <r>
    <n v="1095"/>
    <x v="49"/>
    <x v="0"/>
    <x v="2"/>
    <s v="Charger"/>
    <n v="81.94"/>
    <n v="2"/>
    <n v="163.88"/>
    <s v="C020"/>
    <n v="53"/>
    <s v="Credit Card"/>
    <x v="1"/>
  </r>
  <r>
    <n v="1096"/>
    <x v="88"/>
    <x v="0"/>
    <x v="1"/>
    <s v="Dell XPS 13"/>
    <n v="1647.71"/>
    <n v="2"/>
    <n v="3295.42"/>
    <s v="C032"/>
    <n v="63"/>
    <s v="Credit Card"/>
    <x v="2"/>
  </r>
  <r>
    <n v="1097"/>
    <x v="89"/>
    <x v="2"/>
    <x v="2"/>
    <s v="Wireless Mouse"/>
    <n v="51.11"/>
    <n v="2"/>
    <n v="102.22"/>
    <s v="C025"/>
    <n v="30"/>
    <s v="Mobile Money"/>
    <x v="2"/>
  </r>
  <r>
    <n v="1098"/>
    <x v="90"/>
    <x v="0"/>
    <x v="0"/>
    <s v="iPhone 14"/>
    <n v="869.94"/>
    <n v="5"/>
    <n v="4349.7000000000007"/>
    <s v="C018"/>
    <n v="18"/>
    <s v="Credit Card"/>
    <x v="1"/>
  </r>
  <r>
    <n v="1099"/>
    <x v="91"/>
    <x v="1"/>
    <x v="2"/>
    <s v="Keyboard"/>
    <n v="87.87"/>
    <n v="4"/>
    <n v="351.48"/>
    <s v="C035"/>
    <n v="48"/>
    <s v="Credit Card"/>
    <x v="2"/>
  </r>
  <r>
    <n v="1100"/>
    <x v="30"/>
    <x v="2"/>
    <x v="1"/>
    <s v="Dell XPS 13"/>
    <n v="1869.6"/>
    <n v="2"/>
    <n v="3739.2"/>
    <s v="C037"/>
    <n v="42"/>
    <s v="Credit Card"/>
    <x v="2"/>
  </r>
  <r>
    <n v="1101"/>
    <x v="4"/>
    <x v="2"/>
    <x v="2"/>
    <s v="Charger"/>
    <n v="92.21"/>
    <n v="4"/>
    <n v="368.84"/>
    <s v="C025"/>
    <n v="60"/>
    <s v="Mobile Money"/>
    <x v="2"/>
  </r>
  <r>
    <n v="1102"/>
    <x v="92"/>
    <x v="2"/>
    <x v="2"/>
    <s v="Wireless Mouse"/>
    <n v="55.21"/>
    <n v="5"/>
    <n v="276.05"/>
    <s v="C022"/>
    <n v="24"/>
    <s v="Mobile Money"/>
    <x v="1"/>
  </r>
  <r>
    <n v="1103"/>
    <x v="93"/>
    <x v="2"/>
    <x v="0"/>
    <s v="Galaxy S22"/>
    <n v="904.99"/>
    <n v="2"/>
    <n v="1809.98"/>
    <s v="C005"/>
    <n v="48"/>
    <s v="Mobile Money"/>
    <x v="1"/>
  </r>
  <r>
    <n v="1104"/>
    <x v="94"/>
    <x v="1"/>
    <x v="1"/>
    <s v="Dell XPS 13"/>
    <n v="1851.77"/>
    <n v="5"/>
    <n v="9258.85"/>
    <s v="C025"/>
    <n v="38"/>
    <s v="Cash"/>
    <x v="0"/>
  </r>
  <r>
    <n v="1105"/>
    <x v="95"/>
    <x v="1"/>
    <x v="0"/>
    <s v="Galaxy S22"/>
    <n v="817.39"/>
    <n v="3"/>
    <n v="2452.17"/>
    <s v="C015"/>
    <n v="65"/>
    <s v="Credit Card"/>
    <x v="0"/>
  </r>
  <r>
    <n v="1106"/>
    <x v="96"/>
    <x v="1"/>
    <x v="2"/>
    <s v="Keyboard"/>
    <n v="24.97"/>
    <n v="3"/>
    <n v="74.91"/>
    <s v="C002"/>
    <n v="20"/>
    <s v="Credit Card"/>
    <x v="1"/>
  </r>
  <r>
    <n v="1107"/>
    <x v="97"/>
    <x v="2"/>
    <x v="1"/>
    <s v="Dell XPS 13"/>
    <n v="1531.17"/>
    <n v="5"/>
    <n v="7655.85"/>
    <s v="C044"/>
    <n v="29"/>
    <s v="Credit Card"/>
    <x v="1"/>
  </r>
  <r>
    <n v="1108"/>
    <x v="98"/>
    <x v="1"/>
    <x v="3"/>
    <s v="iPad Air"/>
    <n v="765.13"/>
    <n v="2"/>
    <n v="1530.26"/>
    <s v="C015"/>
    <n v="47"/>
    <s v="Cash"/>
    <x v="1"/>
  </r>
  <r>
    <n v="1109"/>
    <x v="99"/>
    <x v="0"/>
    <x v="2"/>
    <s v="Keyboard"/>
    <n v="91.11"/>
    <n v="5"/>
    <n v="455.55"/>
    <s v="C011"/>
    <n v="22"/>
    <s v="Credit Card"/>
    <x v="1"/>
  </r>
  <r>
    <n v="1110"/>
    <x v="91"/>
    <x v="2"/>
    <x v="3"/>
    <s v="iPad Air"/>
    <n v="676.13"/>
    <n v="4"/>
    <n v="2704.52"/>
    <s v="C020"/>
    <n v="30"/>
    <s v="Mobile Money"/>
    <x v="0"/>
  </r>
  <r>
    <n v="1111"/>
    <x v="100"/>
    <x v="0"/>
    <x v="1"/>
    <s v="Dell XPS 13"/>
    <n v="1574.81"/>
    <n v="3"/>
    <n v="4724.43"/>
    <s v="C002"/>
    <n v="60"/>
    <s v="Credit Card"/>
    <x v="1"/>
  </r>
  <r>
    <n v="1112"/>
    <x v="32"/>
    <x v="1"/>
    <x v="2"/>
    <s v="Charger"/>
    <n v="77.069999999999993"/>
    <n v="3"/>
    <n v="231.20999999999998"/>
    <s v="C050"/>
    <n v="32"/>
    <s v="Cash"/>
    <x v="1"/>
  </r>
  <r>
    <n v="1113"/>
    <x v="101"/>
    <x v="0"/>
    <x v="3"/>
    <s v="iPad Air"/>
    <n v="651.29999999999995"/>
    <n v="1"/>
    <n v="651.29999999999995"/>
    <s v="C020"/>
    <n v="46"/>
    <s v="Credit Card"/>
    <x v="1"/>
  </r>
  <r>
    <n v="1114"/>
    <x v="29"/>
    <x v="0"/>
    <x v="2"/>
    <s v="Keyboard"/>
    <n v="77.27"/>
    <n v="2"/>
    <n v="154.54"/>
    <s v="C013"/>
    <n v="26"/>
    <s v="Mobile Money"/>
    <x v="0"/>
  </r>
  <r>
    <n v="1115"/>
    <x v="102"/>
    <x v="1"/>
    <x v="1"/>
    <s v="Dell XPS 13"/>
    <n v="1830.47"/>
    <n v="3"/>
    <n v="5491.41"/>
    <s v="C031"/>
    <n v="36"/>
    <s v="Mobile Money"/>
    <x v="1"/>
  </r>
  <r>
    <n v="1116"/>
    <x v="103"/>
    <x v="2"/>
    <x v="2"/>
    <s v="Wireless Mouse"/>
    <n v="77.87"/>
    <n v="2"/>
    <n v="155.74"/>
    <s v="C044"/>
    <n v="64"/>
    <s v="Cash"/>
    <x v="1"/>
  </r>
  <r>
    <n v="1117"/>
    <x v="104"/>
    <x v="2"/>
    <x v="0"/>
    <s v="iPhone 14"/>
    <n v="706.96"/>
    <n v="5"/>
    <n v="3534.8"/>
    <s v="C008"/>
    <n v="47"/>
    <s v="Credit Card"/>
    <x v="2"/>
  </r>
  <r>
    <n v="1118"/>
    <x v="105"/>
    <x v="1"/>
    <x v="1"/>
    <s v="Dell XPS 13"/>
    <n v="1108.3499999999999"/>
    <n v="2"/>
    <n v="2216.6999999999998"/>
    <s v="C031"/>
    <n v="19"/>
    <s v="Cash"/>
    <x v="0"/>
  </r>
  <r>
    <n v="1119"/>
    <x v="106"/>
    <x v="1"/>
    <x v="0"/>
    <s v="Galaxy S22"/>
    <n v="1017.7"/>
    <n v="4"/>
    <n v="4070.8"/>
    <s v="C045"/>
    <n v="37"/>
    <s v="Cash"/>
    <x v="1"/>
  </r>
  <r>
    <n v="1120"/>
    <x v="107"/>
    <x v="0"/>
    <x v="1"/>
    <s v="Dell XPS 13"/>
    <n v="1116.1199999999999"/>
    <n v="2"/>
    <n v="2232.2399999999998"/>
    <s v="C035"/>
    <n v="26"/>
    <s v="Credit Card"/>
    <x v="1"/>
  </r>
  <r>
    <n v="1121"/>
    <x v="108"/>
    <x v="1"/>
    <x v="1"/>
    <s v="Dell XPS 13"/>
    <n v="1885.41"/>
    <n v="1"/>
    <n v="1885.41"/>
    <s v="C032"/>
    <n v="57"/>
    <s v="Credit Card"/>
    <x v="0"/>
  </r>
  <r>
    <n v="1122"/>
    <x v="109"/>
    <x v="1"/>
    <x v="1"/>
    <s v="Dell XPS 13"/>
    <n v="1444.7"/>
    <n v="2"/>
    <n v="2889.4"/>
    <s v="C024"/>
    <n v="24"/>
    <s v="Mobile Money"/>
    <x v="1"/>
  </r>
  <r>
    <n v="1123"/>
    <x v="110"/>
    <x v="2"/>
    <x v="0"/>
    <s v="iPhone 14"/>
    <n v="794.9"/>
    <n v="1"/>
    <n v="794.9"/>
    <s v="C030"/>
    <n v="23"/>
    <s v="Cash"/>
    <x v="2"/>
  </r>
  <r>
    <n v="1124"/>
    <x v="111"/>
    <x v="0"/>
    <x v="0"/>
    <s v="iPhone 14"/>
    <n v="821.78"/>
    <n v="2"/>
    <n v="1643.56"/>
    <s v="C037"/>
    <n v="31"/>
    <s v="Credit Card"/>
    <x v="2"/>
  </r>
  <r>
    <n v="1125"/>
    <x v="112"/>
    <x v="1"/>
    <x v="0"/>
    <s v="Galaxy S22"/>
    <n v="864.28"/>
    <n v="2"/>
    <n v="1728.56"/>
    <s v="C039"/>
    <n v="18"/>
    <s v="Credit Card"/>
    <x v="0"/>
  </r>
  <r>
    <n v="1126"/>
    <x v="113"/>
    <x v="1"/>
    <x v="0"/>
    <s v="Galaxy S22"/>
    <n v="754.96"/>
    <n v="1"/>
    <n v="754.96"/>
    <s v="C009"/>
    <n v="18"/>
    <s v="Credit Card"/>
    <x v="2"/>
  </r>
  <r>
    <n v="1127"/>
    <x v="18"/>
    <x v="2"/>
    <x v="0"/>
    <s v="iPhone 14"/>
    <n v="726.2"/>
    <n v="4"/>
    <n v="2904.8"/>
    <s v="C034"/>
    <n v="25"/>
    <s v="Mobile Money"/>
    <x v="1"/>
  </r>
  <r>
    <n v="1128"/>
    <x v="5"/>
    <x v="1"/>
    <x v="3"/>
    <s v="iPad Air"/>
    <n v="601.54"/>
    <n v="5"/>
    <n v="3007.7"/>
    <s v="C003"/>
    <n v="64"/>
    <s v="Mobile Money"/>
    <x v="0"/>
  </r>
  <r>
    <n v="1129"/>
    <x v="41"/>
    <x v="2"/>
    <x v="1"/>
    <s v="Dell XPS 13"/>
    <n v="1060.83"/>
    <n v="4"/>
    <n v="4243.32"/>
    <s v="C026"/>
    <n v="45"/>
    <s v="Cash"/>
    <x v="1"/>
  </r>
  <r>
    <n v="1130"/>
    <x v="114"/>
    <x v="0"/>
    <x v="2"/>
    <s v="Keyboard"/>
    <n v="64.75"/>
    <n v="1"/>
    <n v="64.75"/>
    <s v="C009"/>
    <n v="35"/>
    <s v="Cash"/>
    <x v="2"/>
  </r>
  <r>
    <n v="1131"/>
    <x v="115"/>
    <x v="2"/>
    <x v="1"/>
    <s v="Dell XPS 13"/>
    <n v="1453.72"/>
    <n v="5"/>
    <n v="7268.6"/>
    <s v="C028"/>
    <n v="24"/>
    <s v="Mobile Money"/>
    <x v="1"/>
  </r>
  <r>
    <n v="1132"/>
    <x v="116"/>
    <x v="1"/>
    <x v="2"/>
    <s v="Charger"/>
    <n v="74.88"/>
    <n v="2"/>
    <n v="149.76"/>
    <s v="C028"/>
    <n v="46"/>
    <s v="Mobile Money"/>
    <x v="1"/>
  </r>
  <r>
    <n v="1133"/>
    <x v="117"/>
    <x v="2"/>
    <x v="1"/>
    <s v="Dell XPS 13"/>
    <n v="1312.55"/>
    <n v="3"/>
    <n v="3937.6499999999996"/>
    <s v="C043"/>
    <n v="34"/>
    <s v="Credit Card"/>
    <x v="1"/>
  </r>
  <r>
    <n v="1134"/>
    <x v="20"/>
    <x v="0"/>
    <x v="0"/>
    <s v="Galaxy S22"/>
    <n v="746.62"/>
    <n v="1"/>
    <n v="746.62"/>
    <s v="C048"/>
    <n v="65"/>
    <s v="Credit Card"/>
    <x v="1"/>
  </r>
  <r>
    <n v="1135"/>
    <x v="118"/>
    <x v="1"/>
    <x v="2"/>
    <s v="Charger"/>
    <n v="39.67"/>
    <n v="1"/>
    <n v="39.67"/>
    <s v="C027"/>
    <n v="40"/>
    <s v="Mobile Money"/>
    <x v="0"/>
  </r>
  <r>
    <n v="1136"/>
    <x v="119"/>
    <x v="1"/>
    <x v="0"/>
    <s v="iPhone 14"/>
    <n v="1000.21"/>
    <n v="3"/>
    <n v="3000.63"/>
    <s v="C007"/>
    <n v="54"/>
    <s v="Cash"/>
    <x v="1"/>
  </r>
  <r>
    <n v="1137"/>
    <x v="120"/>
    <x v="0"/>
    <x v="2"/>
    <s v="Keyboard"/>
    <n v="86.08"/>
    <n v="3"/>
    <n v="258.24"/>
    <s v="C008"/>
    <n v="35"/>
    <s v="Cash"/>
    <x v="0"/>
  </r>
  <r>
    <n v="1138"/>
    <x v="121"/>
    <x v="1"/>
    <x v="3"/>
    <s v="iPad Air"/>
    <n v="643.6"/>
    <n v="3"/>
    <n v="1930.8000000000002"/>
    <s v="C002"/>
    <n v="29"/>
    <s v="Credit Card"/>
    <x v="2"/>
  </r>
  <r>
    <n v="1139"/>
    <x v="122"/>
    <x v="2"/>
    <x v="0"/>
    <s v="Galaxy S22"/>
    <n v="983.16"/>
    <n v="4"/>
    <n v="3932.64"/>
    <s v="C005"/>
    <n v="27"/>
    <s v="Mobile Money"/>
    <x v="0"/>
  </r>
  <r>
    <n v="1140"/>
    <x v="123"/>
    <x v="1"/>
    <x v="1"/>
    <s v="Dell XPS 13"/>
    <n v="1419.83"/>
    <n v="3"/>
    <n v="4259.49"/>
    <s v="C011"/>
    <n v="41"/>
    <s v="Credit Card"/>
    <x v="1"/>
  </r>
  <r>
    <n v="1141"/>
    <x v="124"/>
    <x v="1"/>
    <x v="0"/>
    <s v="Galaxy S22"/>
    <n v="777.79"/>
    <n v="5"/>
    <n v="3888.95"/>
    <s v="C004"/>
    <n v="61"/>
    <s v="Credit Card"/>
    <x v="1"/>
  </r>
  <r>
    <n v="1142"/>
    <x v="125"/>
    <x v="2"/>
    <x v="3"/>
    <s v="iPad Air"/>
    <n v="509.27"/>
    <n v="5"/>
    <n v="2546.35"/>
    <s v="C008"/>
    <n v="40"/>
    <s v="Credit Card"/>
    <x v="1"/>
  </r>
  <r>
    <n v="1143"/>
    <x v="126"/>
    <x v="1"/>
    <x v="1"/>
    <s v="Dell XPS 13"/>
    <n v="1045.42"/>
    <n v="4"/>
    <n v="4181.68"/>
    <s v="C039"/>
    <n v="21"/>
    <s v="Credit Card"/>
    <x v="1"/>
  </r>
  <r>
    <n v="1144"/>
    <x v="57"/>
    <x v="0"/>
    <x v="2"/>
    <s v="Keyboard"/>
    <n v="39.53"/>
    <n v="1"/>
    <n v="39.53"/>
    <s v="C032"/>
    <n v="65"/>
    <s v="Credit Card"/>
    <x v="1"/>
  </r>
  <r>
    <n v="1145"/>
    <x v="127"/>
    <x v="1"/>
    <x v="0"/>
    <s v="iPhone 14"/>
    <n v="736.04"/>
    <n v="1"/>
    <n v="736.04"/>
    <s v="C028"/>
    <n v="19"/>
    <s v="Credit Card"/>
    <x v="1"/>
  </r>
  <r>
    <n v="1146"/>
    <x v="26"/>
    <x v="1"/>
    <x v="1"/>
    <s v="Dell XPS 13"/>
    <n v="1709.5"/>
    <n v="4"/>
    <n v="6838"/>
    <s v="C019"/>
    <n v="25"/>
    <s v="Credit Card"/>
    <x v="0"/>
  </r>
  <r>
    <n v="1147"/>
    <x v="128"/>
    <x v="1"/>
    <x v="1"/>
    <s v="Dell XPS 13"/>
    <n v="1088.1300000000001"/>
    <n v="1"/>
    <n v="1088.1300000000001"/>
    <s v="C016"/>
    <n v="45"/>
    <s v="Cash"/>
    <x v="2"/>
  </r>
  <r>
    <n v="1148"/>
    <x v="129"/>
    <x v="2"/>
    <x v="2"/>
    <s v="Wireless Mouse"/>
    <n v="39.979999999999997"/>
    <n v="2"/>
    <n v="79.959999999999994"/>
    <s v="C005"/>
    <n v="50"/>
    <s v="Cash"/>
    <x v="2"/>
  </r>
  <r>
    <n v="1149"/>
    <x v="71"/>
    <x v="2"/>
    <x v="1"/>
    <s v="Dell XPS 13"/>
    <n v="1236.27"/>
    <n v="2"/>
    <n v="2472.54"/>
    <s v="C017"/>
    <n v="30"/>
    <s v="Credit Card"/>
    <x v="1"/>
  </r>
  <r>
    <n v="1150"/>
    <x v="116"/>
    <x v="0"/>
    <x v="0"/>
    <s v="iPhone 14"/>
    <n v="931.98"/>
    <n v="5"/>
    <n v="4659.8999999999996"/>
    <s v="C049"/>
    <n v="55"/>
    <s v="Credit Card"/>
    <x v="0"/>
  </r>
  <r>
    <n v="1151"/>
    <x v="130"/>
    <x v="1"/>
    <x v="3"/>
    <s v="iPad Air"/>
    <n v="745.7"/>
    <n v="3"/>
    <n v="2237.1000000000004"/>
    <s v="C010"/>
    <n v="46"/>
    <s v="Credit Card"/>
    <x v="1"/>
  </r>
  <r>
    <n v="1152"/>
    <x v="131"/>
    <x v="2"/>
    <x v="3"/>
    <s v="iPad Air"/>
    <n v="602.92999999999995"/>
    <n v="3"/>
    <n v="1808.79"/>
    <s v="C030"/>
    <n v="46"/>
    <s v="Credit Card"/>
    <x v="1"/>
  </r>
  <r>
    <n v="1153"/>
    <x v="52"/>
    <x v="0"/>
    <x v="3"/>
    <s v="iPad Air"/>
    <n v="646"/>
    <n v="5"/>
    <n v="3230"/>
    <s v="C025"/>
    <n v="47"/>
    <s v="Cash"/>
    <x v="0"/>
  </r>
  <r>
    <n v="1154"/>
    <x v="132"/>
    <x v="2"/>
    <x v="2"/>
    <s v="Charger"/>
    <n v="68.67"/>
    <n v="3"/>
    <n v="206.01"/>
    <s v="C039"/>
    <n v="48"/>
    <s v="Cash"/>
    <x v="0"/>
  </r>
  <r>
    <n v="1155"/>
    <x v="133"/>
    <x v="0"/>
    <x v="2"/>
    <s v="Keyboard"/>
    <n v="98.41"/>
    <n v="1"/>
    <n v="98.41"/>
    <s v="C033"/>
    <n v="59"/>
    <s v="Credit Card"/>
    <x v="1"/>
  </r>
  <r>
    <n v="1156"/>
    <x v="134"/>
    <x v="2"/>
    <x v="1"/>
    <s v="Dell XPS 13"/>
    <n v="1363.9"/>
    <n v="3"/>
    <n v="4091.7000000000003"/>
    <s v="C025"/>
    <n v="44"/>
    <s v="Mobile Money"/>
    <x v="2"/>
  </r>
  <r>
    <n v="1157"/>
    <x v="58"/>
    <x v="1"/>
    <x v="3"/>
    <s v="iPad Air"/>
    <n v="531.88"/>
    <n v="5"/>
    <n v="2659.4"/>
    <s v="C044"/>
    <n v="42"/>
    <s v="Credit Card"/>
    <x v="2"/>
  </r>
  <r>
    <n v="1158"/>
    <x v="135"/>
    <x v="1"/>
    <x v="2"/>
    <s v="Keyboard"/>
    <n v="17.34"/>
    <n v="2"/>
    <n v="34.68"/>
    <s v="C023"/>
    <n v="37"/>
    <s v="Mobile Money"/>
    <x v="2"/>
  </r>
  <r>
    <n v="1159"/>
    <x v="136"/>
    <x v="0"/>
    <x v="3"/>
    <s v="iPad Air"/>
    <n v="523.83000000000004"/>
    <n v="4"/>
    <n v="2095.3200000000002"/>
    <s v="C042"/>
    <n v="39"/>
    <s v="Mobile Money"/>
    <x v="2"/>
  </r>
  <r>
    <n v="1160"/>
    <x v="137"/>
    <x v="1"/>
    <x v="0"/>
    <s v="iPhone 14"/>
    <n v="954.24"/>
    <n v="1"/>
    <n v="954.24"/>
    <s v="C024"/>
    <n v="37"/>
    <s v="Credit Card"/>
    <x v="1"/>
  </r>
  <r>
    <n v="1161"/>
    <x v="138"/>
    <x v="0"/>
    <x v="0"/>
    <s v="Galaxy S22"/>
    <n v="777.47"/>
    <n v="3"/>
    <n v="2332.41"/>
    <s v="C007"/>
    <n v="50"/>
    <s v="Mobile Money"/>
    <x v="0"/>
  </r>
  <r>
    <n v="1162"/>
    <x v="93"/>
    <x v="0"/>
    <x v="3"/>
    <s v="iPad Air"/>
    <n v="638.9"/>
    <n v="2"/>
    <n v="1277.8"/>
    <s v="C011"/>
    <n v="29"/>
    <s v="Mobile Money"/>
    <x v="2"/>
  </r>
  <r>
    <n v="1163"/>
    <x v="24"/>
    <x v="1"/>
    <x v="1"/>
    <s v="Dell XPS 13"/>
    <n v="1364.3"/>
    <n v="2"/>
    <n v="2728.6"/>
    <s v="C029"/>
    <n v="57"/>
    <s v="Credit Card"/>
    <x v="2"/>
  </r>
  <r>
    <n v="1164"/>
    <x v="139"/>
    <x v="0"/>
    <x v="1"/>
    <s v="Dell XPS 13"/>
    <n v="1965.6"/>
    <n v="4"/>
    <n v="7862.4"/>
    <s v="C013"/>
    <n v="41"/>
    <s v="Cash"/>
    <x v="2"/>
  </r>
  <r>
    <n v="1165"/>
    <x v="73"/>
    <x v="2"/>
    <x v="2"/>
    <s v="Keyboard"/>
    <n v="55.26"/>
    <n v="4"/>
    <n v="221.04"/>
    <s v="C011"/>
    <n v="30"/>
    <s v="Mobile Money"/>
    <x v="1"/>
  </r>
  <r>
    <n v="1166"/>
    <x v="140"/>
    <x v="0"/>
    <x v="3"/>
    <s v="iPad Air"/>
    <n v="621.82000000000005"/>
    <n v="1"/>
    <n v="621.82000000000005"/>
    <s v="C046"/>
    <n v="51"/>
    <s v="Mobile Money"/>
    <x v="1"/>
  </r>
  <r>
    <n v="1167"/>
    <x v="141"/>
    <x v="2"/>
    <x v="1"/>
    <s v="Dell XPS 13"/>
    <n v="1831.05"/>
    <n v="1"/>
    <n v="1831.05"/>
    <s v="C015"/>
    <n v="46"/>
    <s v="Mobile Money"/>
    <x v="0"/>
  </r>
  <r>
    <n v="1168"/>
    <x v="89"/>
    <x v="0"/>
    <x v="1"/>
    <s v="Dell XPS 13"/>
    <n v="1235.78"/>
    <n v="1"/>
    <n v="1235.78"/>
    <s v="C024"/>
    <n v="32"/>
    <s v="Credit Card"/>
    <x v="0"/>
  </r>
  <r>
    <n v="1169"/>
    <x v="2"/>
    <x v="2"/>
    <x v="2"/>
    <s v="Wireless Mouse"/>
    <n v="13.45"/>
    <n v="4"/>
    <n v="53.8"/>
    <s v="C045"/>
    <n v="26"/>
    <s v="Mobile Money"/>
    <x v="1"/>
  </r>
  <r>
    <n v="1170"/>
    <x v="142"/>
    <x v="0"/>
    <x v="2"/>
    <s v="Wireless Mouse"/>
    <n v="33.03"/>
    <n v="2"/>
    <n v="66.06"/>
    <s v="C036"/>
    <n v="64"/>
    <s v="Cash"/>
    <x v="1"/>
  </r>
  <r>
    <n v="1171"/>
    <x v="143"/>
    <x v="0"/>
    <x v="1"/>
    <s v="Dell XPS 13"/>
    <n v="1238.44"/>
    <n v="5"/>
    <n v="6192.2000000000007"/>
    <s v="C030"/>
    <n v="22"/>
    <s v="Credit Card"/>
    <x v="0"/>
  </r>
  <r>
    <n v="1172"/>
    <x v="111"/>
    <x v="1"/>
    <x v="0"/>
    <s v="Galaxy S22"/>
    <n v="1059.27"/>
    <n v="3"/>
    <n v="3177.81"/>
    <s v="C028"/>
    <n v="18"/>
    <s v="Cash"/>
    <x v="1"/>
  </r>
  <r>
    <n v="1173"/>
    <x v="144"/>
    <x v="0"/>
    <x v="3"/>
    <s v="iPad Air"/>
    <n v="609.39"/>
    <n v="3"/>
    <n v="1828.17"/>
    <s v="C005"/>
    <n v="51"/>
    <s v="Cash"/>
    <x v="2"/>
  </r>
  <r>
    <n v="1174"/>
    <x v="145"/>
    <x v="1"/>
    <x v="0"/>
    <s v="iPhone 14"/>
    <n v="721.77"/>
    <n v="4"/>
    <n v="2887.08"/>
    <s v="C024"/>
    <n v="34"/>
    <s v="Mobile Money"/>
    <x v="1"/>
  </r>
  <r>
    <n v="1175"/>
    <x v="146"/>
    <x v="2"/>
    <x v="0"/>
    <s v="Galaxy S22"/>
    <n v="1085.75"/>
    <n v="3"/>
    <n v="3257.25"/>
    <s v="C009"/>
    <n v="20"/>
    <s v="Credit Card"/>
    <x v="1"/>
  </r>
  <r>
    <n v="1176"/>
    <x v="9"/>
    <x v="0"/>
    <x v="2"/>
    <s v="Charger"/>
    <n v="51.82"/>
    <n v="4"/>
    <n v="207.28"/>
    <s v="C041"/>
    <n v="29"/>
    <s v="Mobile Money"/>
    <x v="1"/>
  </r>
  <r>
    <n v="1177"/>
    <x v="147"/>
    <x v="0"/>
    <x v="0"/>
    <s v="Galaxy S22"/>
    <n v="1095.55"/>
    <n v="1"/>
    <n v="1095.55"/>
    <s v="C021"/>
    <n v="37"/>
    <s v="Cash"/>
    <x v="0"/>
  </r>
  <r>
    <n v="1178"/>
    <x v="30"/>
    <x v="2"/>
    <x v="0"/>
    <s v="Galaxy S22"/>
    <n v="843.06"/>
    <n v="1"/>
    <n v="843.06"/>
    <s v="C042"/>
    <n v="39"/>
    <s v="Credit Card"/>
    <x v="2"/>
  </r>
  <r>
    <n v="1179"/>
    <x v="148"/>
    <x v="2"/>
    <x v="2"/>
    <s v="Keyboard"/>
    <n v="40.51"/>
    <n v="2"/>
    <n v="81.02"/>
    <s v="C032"/>
    <n v="62"/>
    <s v="Credit Card"/>
    <x v="0"/>
  </r>
  <r>
    <n v="1180"/>
    <x v="149"/>
    <x v="2"/>
    <x v="2"/>
    <s v="Charger"/>
    <n v="48.2"/>
    <n v="4"/>
    <n v="192.8"/>
    <s v="C039"/>
    <n v="29"/>
    <s v="Cash"/>
    <x v="1"/>
  </r>
  <r>
    <n v="1181"/>
    <x v="15"/>
    <x v="2"/>
    <x v="3"/>
    <s v="iPad Air"/>
    <n v="578.37"/>
    <n v="4"/>
    <n v="2313.48"/>
    <s v="C011"/>
    <n v="62"/>
    <s v="Credit Card"/>
    <x v="1"/>
  </r>
  <r>
    <n v="1182"/>
    <x v="69"/>
    <x v="1"/>
    <x v="2"/>
    <s v="Keyboard"/>
    <n v="67.55"/>
    <n v="1"/>
    <n v="67.55"/>
    <s v="C005"/>
    <n v="60"/>
    <s v="Cash"/>
    <x v="1"/>
  </r>
  <r>
    <n v="1183"/>
    <x v="126"/>
    <x v="0"/>
    <x v="2"/>
    <s v="Wireless Mouse"/>
    <n v="86.38"/>
    <n v="4"/>
    <n v="345.52"/>
    <s v="C003"/>
    <n v="26"/>
    <s v="Credit Card"/>
    <x v="2"/>
  </r>
  <r>
    <n v="1184"/>
    <x v="102"/>
    <x v="2"/>
    <x v="1"/>
    <s v="Dell XPS 13"/>
    <n v="1605.09"/>
    <n v="4"/>
    <n v="6420.36"/>
    <s v="C024"/>
    <n v="41"/>
    <s v="Credit Card"/>
    <x v="1"/>
  </r>
  <r>
    <n v="1185"/>
    <x v="150"/>
    <x v="1"/>
    <x v="1"/>
    <s v="Dell XPS 13"/>
    <n v="1649.56"/>
    <n v="2"/>
    <n v="3299.12"/>
    <s v="C008"/>
    <n v="19"/>
    <s v="Mobile Money"/>
    <x v="1"/>
  </r>
  <r>
    <n v="1186"/>
    <x v="151"/>
    <x v="1"/>
    <x v="0"/>
    <s v="iPhone 14"/>
    <n v="1052.02"/>
    <n v="2"/>
    <n v="2104.04"/>
    <s v="C040"/>
    <n v="36"/>
    <s v="Cash"/>
    <x v="0"/>
  </r>
  <r>
    <n v="1187"/>
    <x v="152"/>
    <x v="0"/>
    <x v="0"/>
    <s v="Galaxy S22"/>
    <n v="926.02"/>
    <n v="4"/>
    <n v="3704.08"/>
    <s v="C006"/>
    <n v="61"/>
    <s v="Mobile Money"/>
    <x v="0"/>
  </r>
  <r>
    <n v="1188"/>
    <x v="99"/>
    <x v="2"/>
    <x v="2"/>
    <s v="Charger"/>
    <n v="58.8"/>
    <n v="3"/>
    <n v="176.39999999999998"/>
    <s v="C011"/>
    <n v="63"/>
    <s v="Mobile Money"/>
    <x v="2"/>
  </r>
  <r>
    <n v="1189"/>
    <x v="153"/>
    <x v="2"/>
    <x v="1"/>
    <s v="Dell XPS 13"/>
    <n v="1985.13"/>
    <n v="2"/>
    <n v="3970.26"/>
    <s v="C016"/>
    <n v="49"/>
    <s v="Credit Card"/>
    <x v="2"/>
  </r>
  <r>
    <n v="1190"/>
    <x v="60"/>
    <x v="2"/>
    <x v="2"/>
    <s v="Charger"/>
    <n v="21.68"/>
    <n v="1"/>
    <n v="21.68"/>
    <s v="C005"/>
    <n v="37"/>
    <s v="Credit Card"/>
    <x v="2"/>
  </r>
  <r>
    <n v="1191"/>
    <x v="154"/>
    <x v="1"/>
    <x v="1"/>
    <s v="Dell XPS 13"/>
    <n v="1823.34"/>
    <n v="1"/>
    <n v="1823.34"/>
    <s v="C009"/>
    <n v="38"/>
    <s v="Cash"/>
    <x v="1"/>
  </r>
  <r>
    <n v="1192"/>
    <x v="155"/>
    <x v="1"/>
    <x v="1"/>
    <s v="Dell XPS 13"/>
    <n v="1767.78"/>
    <n v="2"/>
    <n v="3535.56"/>
    <s v="C028"/>
    <n v="50"/>
    <s v="Mobile Money"/>
    <x v="1"/>
  </r>
  <r>
    <n v="1193"/>
    <x v="42"/>
    <x v="1"/>
    <x v="0"/>
    <s v="Galaxy S22"/>
    <n v="780.98"/>
    <n v="2"/>
    <n v="1561.96"/>
    <s v="C023"/>
    <n v="51"/>
    <s v="Mobile Money"/>
    <x v="0"/>
  </r>
  <r>
    <n v="1194"/>
    <x v="140"/>
    <x v="0"/>
    <x v="3"/>
    <s v="iPad Air"/>
    <n v="450.07"/>
    <n v="3"/>
    <n v="1350.21"/>
    <s v="C040"/>
    <n v="52"/>
    <s v="Credit Card"/>
    <x v="2"/>
  </r>
  <r>
    <n v="1195"/>
    <x v="56"/>
    <x v="1"/>
    <x v="0"/>
    <s v="iPhone 14"/>
    <n v="1121.27"/>
    <n v="5"/>
    <n v="5606.35"/>
    <s v="C003"/>
    <n v="19"/>
    <s v="Credit Card"/>
    <x v="0"/>
  </r>
  <r>
    <n v="1196"/>
    <x v="156"/>
    <x v="2"/>
    <x v="3"/>
    <s v="iPad Air"/>
    <n v="647.24"/>
    <n v="1"/>
    <n v="647.24"/>
    <s v="C032"/>
    <n v="58"/>
    <s v="Cash"/>
    <x v="2"/>
  </r>
  <r>
    <n v="1197"/>
    <x v="157"/>
    <x v="2"/>
    <x v="0"/>
    <s v="iPhone 14"/>
    <n v="848.72"/>
    <n v="1"/>
    <n v="848.72"/>
    <s v="C045"/>
    <n v="21"/>
    <s v="Credit Card"/>
    <x v="1"/>
  </r>
  <r>
    <n v="1198"/>
    <x v="158"/>
    <x v="0"/>
    <x v="1"/>
    <s v="Dell XPS 13"/>
    <n v="1312.58"/>
    <n v="3"/>
    <n v="3937.74"/>
    <s v="C047"/>
    <n v="40"/>
    <s v="Mobile Money"/>
    <x v="1"/>
  </r>
  <r>
    <n v="1199"/>
    <x v="63"/>
    <x v="1"/>
    <x v="3"/>
    <s v="iPad Air"/>
    <n v="496.7"/>
    <n v="1"/>
    <n v="496.7"/>
    <s v="C018"/>
    <n v="46"/>
    <s v="Credit Card"/>
    <x v="1"/>
  </r>
  <r>
    <n v="1200"/>
    <x v="159"/>
    <x v="2"/>
    <x v="2"/>
    <s v="Keyboard"/>
    <n v="32.340000000000003"/>
    <n v="2"/>
    <n v="64.680000000000007"/>
    <s v="C021"/>
    <n v="54"/>
    <s v="Mobile Money"/>
    <x v="1"/>
  </r>
  <r>
    <n v="1201"/>
    <x v="11"/>
    <x v="2"/>
    <x v="2"/>
    <s v="Keyboard"/>
    <n v="54.89"/>
    <n v="3"/>
    <n v="164.67000000000002"/>
    <s v="C032"/>
    <n v="19"/>
    <s v="Credit Card"/>
    <x v="1"/>
  </r>
  <r>
    <n v="1202"/>
    <x v="147"/>
    <x v="0"/>
    <x v="0"/>
    <s v="iPhone 14"/>
    <n v="724.33"/>
    <n v="3"/>
    <n v="2172.9900000000002"/>
    <s v="C032"/>
    <n v="56"/>
    <s v="Mobile Money"/>
    <x v="2"/>
  </r>
  <r>
    <n v="1203"/>
    <x v="38"/>
    <x v="2"/>
    <x v="1"/>
    <s v="Dell XPS 13"/>
    <n v="1430.93"/>
    <n v="3"/>
    <n v="4292.79"/>
    <s v="C047"/>
    <n v="41"/>
    <s v="Mobile Money"/>
    <x v="1"/>
  </r>
  <r>
    <n v="1204"/>
    <x v="160"/>
    <x v="0"/>
    <x v="3"/>
    <s v="iPad Air"/>
    <n v="545.01"/>
    <n v="3"/>
    <n v="1635.03"/>
    <s v="C005"/>
    <n v="42"/>
    <s v="Cash"/>
    <x v="2"/>
  </r>
  <r>
    <n v="1205"/>
    <x v="161"/>
    <x v="1"/>
    <x v="3"/>
    <s v="iPad Air"/>
    <n v="451.47"/>
    <n v="1"/>
    <n v="451.47"/>
    <s v="C026"/>
    <n v="41"/>
    <s v="Mobile Money"/>
    <x v="1"/>
  </r>
  <r>
    <n v="1206"/>
    <x v="102"/>
    <x v="0"/>
    <x v="0"/>
    <s v="iPhone 14"/>
    <n v="950.04"/>
    <n v="1"/>
    <n v="950.04"/>
    <s v="C003"/>
    <n v="26"/>
    <s v="Mobile Money"/>
    <x v="0"/>
  </r>
  <r>
    <n v="1207"/>
    <x v="149"/>
    <x v="2"/>
    <x v="0"/>
    <s v="Galaxy S22"/>
    <n v="863.98"/>
    <n v="5"/>
    <n v="4319.8999999999996"/>
    <s v="C021"/>
    <n v="28"/>
    <s v="Credit Card"/>
    <x v="2"/>
  </r>
  <r>
    <n v="1208"/>
    <x v="162"/>
    <x v="1"/>
    <x v="1"/>
    <s v="Dell XPS 13"/>
    <n v="1708.74"/>
    <n v="3"/>
    <n v="5126.22"/>
    <s v="C031"/>
    <n v="19"/>
    <s v="Credit Card"/>
    <x v="2"/>
  </r>
  <r>
    <n v="1209"/>
    <x v="144"/>
    <x v="1"/>
    <x v="1"/>
    <s v="Dell XPS 13"/>
    <n v="1596.91"/>
    <n v="3"/>
    <n v="4790.7300000000005"/>
    <s v="C042"/>
    <n v="55"/>
    <s v="Cash"/>
    <x v="2"/>
  </r>
  <r>
    <n v="1210"/>
    <x v="10"/>
    <x v="2"/>
    <x v="0"/>
    <s v="iPhone 14"/>
    <n v="773.89"/>
    <n v="2"/>
    <n v="1547.78"/>
    <s v="C003"/>
    <n v="54"/>
    <s v="Mobile Money"/>
    <x v="1"/>
  </r>
  <r>
    <n v="1211"/>
    <x v="163"/>
    <x v="2"/>
    <x v="1"/>
    <s v="Dell XPS 13"/>
    <n v="1412.96"/>
    <n v="2"/>
    <n v="2825.92"/>
    <s v="C027"/>
    <n v="50"/>
    <s v="Mobile Money"/>
    <x v="0"/>
  </r>
  <r>
    <n v="1212"/>
    <x v="164"/>
    <x v="1"/>
    <x v="0"/>
    <s v="Galaxy S22"/>
    <n v="980.44"/>
    <n v="4"/>
    <n v="3921.76"/>
    <s v="C034"/>
    <n v="42"/>
    <s v="Credit Card"/>
    <x v="1"/>
  </r>
  <r>
    <n v="1213"/>
    <x v="127"/>
    <x v="2"/>
    <x v="1"/>
    <s v="Dell XPS 13"/>
    <n v="1610.08"/>
    <n v="2"/>
    <n v="3220.16"/>
    <s v="C016"/>
    <n v="35"/>
    <s v="Cash"/>
    <x v="1"/>
  </r>
  <r>
    <n v="1214"/>
    <x v="165"/>
    <x v="2"/>
    <x v="2"/>
    <s v="Charger"/>
    <n v="73.45"/>
    <n v="3"/>
    <n v="220.35000000000002"/>
    <s v="C031"/>
    <n v="40"/>
    <s v="Cash"/>
    <x v="0"/>
  </r>
  <r>
    <n v="1215"/>
    <x v="166"/>
    <x v="2"/>
    <x v="0"/>
    <s v="iPhone 14"/>
    <n v="1147.8800000000001"/>
    <n v="4"/>
    <n v="4591.5200000000004"/>
    <s v="C023"/>
    <n v="27"/>
    <s v="Credit Card"/>
    <x v="1"/>
  </r>
  <r>
    <n v="1216"/>
    <x v="15"/>
    <x v="2"/>
    <x v="2"/>
    <s v="Charger"/>
    <n v="33.08"/>
    <n v="4"/>
    <n v="132.32"/>
    <s v="C014"/>
    <n v="30"/>
    <s v="Mobile Money"/>
    <x v="1"/>
  </r>
  <r>
    <n v="1217"/>
    <x v="121"/>
    <x v="1"/>
    <x v="0"/>
    <s v="Galaxy S22"/>
    <n v="1007.84"/>
    <n v="5"/>
    <n v="5039.2"/>
    <s v="C016"/>
    <n v="33"/>
    <s v="Credit Card"/>
    <x v="0"/>
  </r>
  <r>
    <n v="1218"/>
    <x v="88"/>
    <x v="1"/>
    <x v="0"/>
    <s v="Galaxy S22"/>
    <n v="906.65"/>
    <n v="4"/>
    <n v="3626.6"/>
    <s v="C007"/>
    <n v="61"/>
    <s v="Mobile Money"/>
    <x v="1"/>
  </r>
  <r>
    <n v="1219"/>
    <x v="16"/>
    <x v="0"/>
    <x v="1"/>
    <s v="Dell XPS 13"/>
    <n v="1477.45"/>
    <n v="2"/>
    <n v="2954.9"/>
    <s v="C049"/>
    <n v="36"/>
    <s v="Credit Card"/>
    <x v="2"/>
  </r>
  <r>
    <n v="1220"/>
    <x v="167"/>
    <x v="1"/>
    <x v="3"/>
    <s v="iPad Air"/>
    <n v="765.29"/>
    <n v="2"/>
    <n v="1530.58"/>
    <s v="C027"/>
    <n v="29"/>
    <s v="Mobile Money"/>
    <x v="1"/>
  </r>
  <r>
    <n v="1221"/>
    <x v="168"/>
    <x v="2"/>
    <x v="0"/>
    <s v="iPhone 14"/>
    <n v="1138.3699999999999"/>
    <n v="1"/>
    <n v="1138.3699999999999"/>
    <s v="C020"/>
    <n v="54"/>
    <s v="Cash"/>
    <x v="0"/>
  </r>
  <r>
    <n v="1222"/>
    <x v="169"/>
    <x v="2"/>
    <x v="1"/>
    <s v="Dell XPS 13"/>
    <n v="1889.26"/>
    <n v="2"/>
    <n v="3778.52"/>
    <s v="C033"/>
    <n v="47"/>
    <s v="Credit Card"/>
    <x v="0"/>
  </r>
  <r>
    <n v="1223"/>
    <x v="170"/>
    <x v="0"/>
    <x v="2"/>
    <s v="Charger"/>
    <n v="33.15"/>
    <n v="2"/>
    <n v="66.3"/>
    <s v="C001"/>
    <n v="65"/>
    <s v="Credit Card"/>
    <x v="1"/>
  </r>
  <r>
    <n v="1224"/>
    <x v="171"/>
    <x v="0"/>
    <x v="0"/>
    <s v="iPhone 14"/>
    <n v="1113.49"/>
    <n v="5"/>
    <n v="5567.45"/>
    <s v="C021"/>
    <n v="23"/>
    <s v="Credit Card"/>
    <x v="1"/>
  </r>
  <r>
    <n v="1225"/>
    <x v="22"/>
    <x v="2"/>
    <x v="1"/>
    <s v="Dell XPS 13"/>
    <n v="1006.83"/>
    <n v="4"/>
    <n v="4027.32"/>
    <s v="C016"/>
    <n v="46"/>
    <s v="Mobile Money"/>
    <x v="0"/>
  </r>
  <r>
    <n v="1226"/>
    <x v="157"/>
    <x v="1"/>
    <x v="2"/>
    <s v="Wireless Mouse"/>
    <n v="33.54"/>
    <n v="3"/>
    <n v="100.62"/>
    <s v="C045"/>
    <n v="33"/>
    <s v="Credit Card"/>
    <x v="1"/>
  </r>
  <r>
    <n v="1227"/>
    <x v="35"/>
    <x v="0"/>
    <x v="1"/>
    <s v="Dell XPS 13"/>
    <n v="1690.29"/>
    <n v="3"/>
    <n v="5070.87"/>
    <s v="C024"/>
    <n v="57"/>
    <s v="Credit Card"/>
    <x v="0"/>
  </r>
  <r>
    <n v="1228"/>
    <x v="172"/>
    <x v="0"/>
    <x v="1"/>
    <s v="Dell XPS 13"/>
    <n v="1415.85"/>
    <n v="5"/>
    <n v="7079.25"/>
    <s v="C031"/>
    <n v="52"/>
    <s v="Mobile Money"/>
    <x v="0"/>
  </r>
  <r>
    <n v="1229"/>
    <x v="173"/>
    <x v="1"/>
    <x v="2"/>
    <s v="Wireless Mouse"/>
    <n v="57.3"/>
    <n v="5"/>
    <n v="286.5"/>
    <s v="C046"/>
    <n v="41"/>
    <s v="Credit Card"/>
    <x v="2"/>
  </r>
  <r>
    <n v="1230"/>
    <x v="164"/>
    <x v="1"/>
    <x v="2"/>
    <s v="Wireless Mouse"/>
    <n v="61.54"/>
    <n v="2"/>
    <n v="123.08"/>
    <s v="C011"/>
    <n v="38"/>
    <s v="Mobile Money"/>
    <x v="1"/>
  </r>
  <r>
    <n v="1231"/>
    <x v="155"/>
    <x v="0"/>
    <x v="2"/>
    <s v="Keyboard"/>
    <n v="18.18"/>
    <n v="5"/>
    <n v="90.9"/>
    <s v="C029"/>
    <n v="21"/>
    <s v="Credit Card"/>
    <x v="2"/>
  </r>
  <r>
    <n v="1232"/>
    <x v="47"/>
    <x v="1"/>
    <x v="0"/>
    <s v="iPhone 14"/>
    <n v="1036.3800000000001"/>
    <n v="3"/>
    <n v="3109.1400000000003"/>
    <s v="C047"/>
    <n v="19"/>
    <s v="Credit Card"/>
    <x v="0"/>
  </r>
  <r>
    <n v="1233"/>
    <x v="174"/>
    <x v="1"/>
    <x v="0"/>
    <s v="iPhone 14"/>
    <n v="872.26"/>
    <n v="1"/>
    <n v="872.26"/>
    <s v="C035"/>
    <n v="21"/>
    <s v="Mobile Money"/>
    <x v="1"/>
  </r>
  <r>
    <n v="1234"/>
    <x v="175"/>
    <x v="0"/>
    <x v="0"/>
    <s v="Galaxy S22"/>
    <n v="1084.49"/>
    <n v="4"/>
    <n v="4337.96"/>
    <s v="C024"/>
    <n v="42"/>
    <s v="Credit Card"/>
    <x v="0"/>
  </r>
  <r>
    <n v="1235"/>
    <x v="176"/>
    <x v="2"/>
    <x v="0"/>
    <s v="Galaxy S22"/>
    <n v="1026.77"/>
    <n v="3"/>
    <n v="3080.31"/>
    <s v="C008"/>
    <n v="29"/>
    <s v="Mobile Money"/>
    <x v="1"/>
  </r>
  <r>
    <n v="1236"/>
    <x v="177"/>
    <x v="1"/>
    <x v="2"/>
    <s v="Wireless Mouse"/>
    <n v="78.06"/>
    <n v="3"/>
    <n v="234.18"/>
    <s v="C030"/>
    <n v="61"/>
    <s v="Mobile Money"/>
    <x v="1"/>
  </r>
  <r>
    <n v="1237"/>
    <x v="178"/>
    <x v="0"/>
    <x v="0"/>
    <s v="iPhone 14"/>
    <n v="777.56"/>
    <n v="2"/>
    <n v="1555.12"/>
    <s v="C047"/>
    <n v="25"/>
    <s v="Credit Card"/>
    <x v="2"/>
  </r>
  <r>
    <n v="1238"/>
    <x v="179"/>
    <x v="0"/>
    <x v="0"/>
    <s v="Galaxy S22"/>
    <n v="750.45"/>
    <n v="1"/>
    <n v="750.45"/>
    <s v="C029"/>
    <n v="56"/>
    <s v="Cash"/>
    <x v="0"/>
  </r>
  <r>
    <n v="1239"/>
    <x v="180"/>
    <x v="1"/>
    <x v="0"/>
    <s v="iPhone 14"/>
    <n v="817.17"/>
    <n v="2"/>
    <n v="1634.34"/>
    <s v="C049"/>
    <n v="21"/>
    <s v="Credit Card"/>
    <x v="0"/>
  </r>
  <r>
    <n v="1240"/>
    <x v="181"/>
    <x v="1"/>
    <x v="3"/>
    <s v="iPad Air"/>
    <n v="494.76"/>
    <n v="2"/>
    <n v="989.52"/>
    <s v="C043"/>
    <n v="51"/>
    <s v="Credit Card"/>
    <x v="1"/>
  </r>
  <r>
    <n v="1241"/>
    <x v="164"/>
    <x v="1"/>
    <x v="2"/>
    <s v="Charger"/>
    <n v="92.04"/>
    <n v="4"/>
    <n v="368.16"/>
    <s v="C036"/>
    <n v="49"/>
    <s v="Credit Card"/>
    <x v="1"/>
  </r>
  <r>
    <n v="1242"/>
    <x v="9"/>
    <x v="1"/>
    <x v="1"/>
    <s v="Dell XPS 13"/>
    <n v="1696.31"/>
    <n v="4"/>
    <n v="6785.24"/>
    <s v="C010"/>
    <n v="37"/>
    <s v="Credit Card"/>
    <x v="2"/>
  </r>
  <r>
    <n v="1243"/>
    <x v="20"/>
    <x v="0"/>
    <x v="2"/>
    <s v="Keyboard"/>
    <n v="87.18"/>
    <n v="2"/>
    <n v="174.36"/>
    <s v="C030"/>
    <n v="21"/>
    <s v="Cash"/>
    <x v="0"/>
  </r>
  <r>
    <n v="1244"/>
    <x v="104"/>
    <x v="1"/>
    <x v="0"/>
    <s v="Galaxy S22"/>
    <n v="827.5"/>
    <n v="3"/>
    <n v="2482.5"/>
    <s v="C042"/>
    <n v="23"/>
    <s v="Mobile Money"/>
    <x v="0"/>
  </r>
  <r>
    <n v="1245"/>
    <x v="182"/>
    <x v="1"/>
    <x v="2"/>
    <s v="Wireless Mouse"/>
    <n v="14.64"/>
    <n v="4"/>
    <n v="58.56"/>
    <s v="C044"/>
    <n v="56"/>
    <s v="Cash"/>
    <x v="0"/>
  </r>
  <r>
    <n v="1246"/>
    <x v="183"/>
    <x v="1"/>
    <x v="2"/>
    <s v="Charger"/>
    <n v="29.53"/>
    <n v="2"/>
    <n v="59.06"/>
    <s v="C022"/>
    <n v="37"/>
    <s v="Mobile Money"/>
    <x v="1"/>
  </r>
  <r>
    <n v="1247"/>
    <x v="184"/>
    <x v="1"/>
    <x v="0"/>
    <s v="iPhone 14"/>
    <n v="1157.22"/>
    <n v="5"/>
    <n v="5786.1"/>
    <s v="C046"/>
    <n v="31"/>
    <s v="Credit Card"/>
    <x v="1"/>
  </r>
  <r>
    <n v="1248"/>
    <x v="185"/>
    <x v="2"/>
    <x v="1"/>
    <s v="Dell XPS 13"/>
    <n v="1308.42"/>
    <n v="3"/>
    <n v="3925.26"/>
    <s v="C033"/>
    <n v="49"/>
    <s v="Credit Card"/>
    <x v="0"/>
  </r>
  <r>
    <n v="1249"/>
    <x v="38"/>
    <x v="2"/>
    <x v="2"/>
    <s v="Keyboard"/>
    <n v="38.159999999999997"/>
    <n v="1"/>
    <n v="38.159999999999997"/>
    <s v="C037"/>
    <n v="32"/>
    <s v="Mobile Money"/>
    <x v="1"/>
  </r>
  <r>
    <n v="1250"/>
    <x v="186"/>
    <x v="1"/>
    <x v="3"/>
    <s v="iPad Air"/>
    <n v="518.08000000000004"/>
    <n v="2"/>
    <n v="1036.1600000000001"/>
    <s v="C022"/>
    <n v="32"/>
    <s v="Credit Card"/>
    <x v="0"/>
  </r>
  <r>
    <n v="1251"/>
    <x v="187"/>
    <x v="1"/>
    <x v="3"/>
    <s v="iPad Air"/>
    <n v="502.93"/>
    <n v="4"/>
    <n v="2011.72"/>
    <s v="C047"/>
    <n v="59"/>
    <s v="Mobile Money"/>
    <x v="1"/>
  </r>
  <r>
    <n v="1252"/>
    <x v="69"/>
    <x v="0"/>
    <x v="0"/>
    <s v="iPhone 14"/>
    <n v="792.02"/>
    <n v="5"/>
    <n v="3960.1"/>
    <s v="C042"/>
    <n v="21"/>
    <s v="Cash"/>
    <x v="0"/>
  </r>
  <r>
    <n v="1253"/>
    <x v="188"/>
    <x v="1"/>
    <x v="0"/>
    <s v="Galaxy S22"/>
    <n v="906.2"/>
    <n v="2"/>
    <n v="1812.4"/>
    <s v="C005"/>
    <n v="63"/>
    <s v="Credit Card"/>
    <x v="1"/>
  </r>
  <r>
    <n v="1254"/>
    <x v="47"/>
    <x v="2"/>
    <x v="0"/>
    <s v="iPhone 14"/>
    <n v="1029.6400000000001"/>
    <n v="1"/>
    <n v="1029.6400000000001"/>
    <s v="C001"/>
    <n v="52"/>
    <s v="Cash"/>
    <x v="1"/>
  </r>
  <r>
    <n v="1255"/>
    <x v="189"/>
    <x v="1"/>
    <x v="0"/>
    <s v="iPhone 14"/>
    <n v="708.57"/>
    <n v="4"/>
    <n v="2834.28"/>
    <s v="C012"/>
    <n v="24"/>
    <s v="Mobile Money"/>
    <x v="2"/>
  </r>
  <r>
    <n v="1256"/>
    <x v="190"/>
    <x v="0"/>
    <x v="3"/>
    <s v="iPad Air"/>
    <n v="726.09"/>
    <n v="3"/>
    <n v="2178.27"/>
    <s v="C026"/>
    <n v="23"/>
    <s v="Credit Card"/>
    <x v="1"/>
  </r>
  <r>
    <n v="1257"/>
    <x v="130"/>
    <x v="0"/>
    <x v="2"/>
    <s v="Wireless Mouse"/>
    <n v="37"/>
    <n v="1"/>
    <n v="37"/>
    <s v="C042"/>
    <n v="59"/>
    <s v="Mobile Money"/>
    <x v="1"/>
  </r>
  <r>
    <n v="1258"/>
    <x v="178"/>
    <x v="2"/>
    <x v="3"/>
    <s v="iPad Air"/>
    <n v="654.70000000000005"/>
    <n v="2"/>
    <n v="1309.4000000000001"/>
    <s v="C006"/>
    <n v="49"/>
    <s v="Mobile Money"/>
    <x v="2"/>
  </r>
  <r>
    <n v="1259"/>
    <x v="170"/>
    <x v="1"/>
    <x v="2"/>
    <s v="Wireless Mouse"/>
    <n v="90.53"/>
    <n v="1"/>
    <n v="90.53"/>
    <s v="C015"/>
    <n v="31"/>
    <s v="Mobile Money"/>
    <x v="2"/>
  </r>
  <r>
    <n v="1260"/>
    <x v="124"/>
    <x v="2"/>
    <x v="0"/>
    <s v="Galaxy S22"/>
    <n v="1042.21"/>
    <n v="3"/>
    <n v="3126.63"/>
    <s v="C035"/>
    <n v="54"/>
    <s v="Cash"/>
    <x v="1"/>
  </r>
  <r>
    <n v="1261"/>
    <x v="191"/>
    <x v="0"/>
    <x v="2"/>
    <s v="Charger"/>
    <n v="22.98"/>
    <n v="4"/>
    <n v="91.92"/>
    <s v="C005"/>
    <n v="37"/>
    <s v="Credit Card"/>
    <x v="1"/>
  </r>
  <r>
    <n v="1262"/>
    <x v="55"/>
    <x v="1"/>
    <x v="2"/>
    <s v="Keyboard"/>
    <n v="44.55"/>
    <n v="2"/>
    <n v="89.1"/>
    <s v="C045"/>
    <n v="64"/>
    <s v="Credit Card"/>
    <x v="2"/>
  </r>
  <r>
    <n v="1263"/>
    <x v="192"/>
    <x v="0"/>
    <x v="0"/>
    <s v="Galaxy S22"/>
    <n v="1119.3399999999999"/>
    <n v="3"/>
    <n v="3358.0199999999995"/>
    <s v="C039"/>
    <n v="57"/>
    <s v="Mobile Money"/>
    <x v="1"/>
  </r>
  <r>
    <n v="1264"/>
    <x v="106"/>
    <x v="0"/>
    <x v="3"/>
    <s v="iPad Air"/>
    <n v="596.24"/>
    <n v="3"/>
    <n v="1788.72"/>
    <s v="C036"/>
    <n v="42"/>
    <s v="Credit Card"/>
    <x v="2"/>
  </r>
  <r>
    <n v="1265"/>
    <x v="193"/>
    <x v="2"/>
    <x v="0"/>
    <s v="iPhone 14"/>
    <n v="1099.03"/>
    <n v="1"/>
    <n v="1099.03"/>
    <s v="C006"/>
    <n v="35"/>
    <s v="Credit Card"/>
    <x v="2"/>
  </r>
  <r>
    <n v="1266"/>
    <x v="96"/>
    <x v="0"/>
    <x v="2"/>
    <s v="Keyboard"/>
    <n v="42.46"/>
    <n v="1"/>
    <n v="42.46"/>
    <s v="C001"/>
    <n v="37"/>
    <s v="Credit Card"/>
    <x v="2"/>
  </r>
  <r>
    <n v="1267"/>
    <x v="62"/>
    <x v="0"/>
    <x v="0"/>
    <s v="iPhone 14"/>
    <n v="924.42"/>
    <n v="5"/>
    <n v="4622.0999999999995"/>
    <s v="C033"/>
    <n v="44"/>
    <s v="Credit Card"/>
    <x v="1"/>
  </r>
  <r>
    <n v="1268"/>
    <x v="186"/>
    <x v="0"/>
    <x v="3"/>
    <s v="iPad Air"/>
    <n v="745.49"/>
    <n v="1"/>
    <n v="745.49"/>
    <s v="C019"/>
    <n v="44"/>
    <s v="Credit Card"/>
    <x v="1"/>
  </r>
  <r>
    <n v="1269"/>
    <x v="36"/>
    <x v="0"/>
    <x v="3"/>
    <s v="iPad Air"/>
    <n v="674.13"/>
    <n v="2"/>
    <n v="1348.26"/>
    <s v="C009"/>
    <n v="35"/>
    <s v="Credit Card"/>
    <x v="1"/>
  </r>
  <r>
    <n v="1270"/>
    <x v="194"/>
    <x v="0"/>
    <x v="1"/>
    <s v="Dell XPS 13"/>
    <n v="1299.75"/>
    <n v="1"/>
    <n v="1299.75"/>
    <s v="C024"/>
    <n v="34"/>
    <s v="Mobile Money"/>
    <x v="2"/>
  </r>
  <r>
    <n v="1271"/>
    <x v="195"/>
    <x v="1"/>
    <x v="3"/>
    <s v="iPad Air"/>
    <n v="442.79"/>
    <n v="3"/>
    <n v="1328.3700000000001"/>
    <s v="C001"/>
    <n v="43"/>
    <s v="Credit Card"/>
    <x v="2"/>
  </r>
  <r>
    <n v="1272"/>
    <x v="196"/>
    <x v="2"/>
    <x v="1"/>
    <s v="Dell XPS 13"/>
    <n v="1300.44"/>
    <n v="5"/>
    <n v="6502.2000000000007"/>
    <s v="C045"/>
    <n v="30"/>
    <s v="Credit Card"/>
    <x v="1"/>
  </r>
  <r>
    <n v="1273"/>
    <x v="168"/>
    <x v="2"/>
    <x v="0"/>
    <s v="iPhone 14"/>
    <n v="1183.8800000000001"/>
    <n v="2"/>
    <n v="2367.7600000000002"/>
    <s v="C021"/>
    <n v="42"/>
    <s v="Credit Card"/>
    <x v="2"/>
  </r>
  <r>
    <n v="1274"/>
    <x v="197"/>
    <x v="0"/>
    <x v="2"/>
    <s v="Wireless Mouse"/>
    <n v="63.3"/>
    <n v="5"/>
    <n v="316.5"/>
    <s v="C012"/>
    <n v="61"/>
    <s v="Mobile Money"/>
    <x v="1"/>
  </r>
  <r>
    <n v="1275"/>
    <x v="198"/>
    <x v="1"/>
    <x v="0"/>
    <s v="iPhone 14"/>
    <n v="1115.6400000000001"/>
    <n v="1"/>
    <n v="1115.6400000000001"/>
    <s v="C027"/>
    <n v="61"/>
    <s v="Credit Card"/>
    <x v="2"/>
  </r>
  <r>
    <n v="1276"/>
    <x v="190"/>
    <x v="2"/>
    <x v="3"/>
    <s v="iPad Air"/>
    <n v="715.63"/>
    <n v="1"/>
    <n v="715.63"/>
    <s v="C029"/>
    <n v="56"/>
    <s v="Credit Card"/>
    <x v="1"/>
  </r>
  <r>
    <n v="1277"/>
    <x v="145"/>
    <x v="1"/>
    <x v="1"/>
    <s v="Dell XPS 13"/>
    <n v="1790.72"/>
    <n v="3"/>
    <n v="5372.16"/>
    <s v="C045"/>
    <n v="52"/>
    <s v="Cash"/>
    <x v="0"/>
  </r>
  <r>
    <n v="1278"/>
    <x v="199"/>
    <x v="0"/>
    <x v="3"/>
    <s v="iPad Air"/>
    <n v="466.54"/>
    <n v="5"/>
    <n v="2332.7000000000003"/>
    <s v="C003"/>
    <n v="54"/>
    <s v="Mobile Money"/>
    <x v="2"/>
  </r>
  <r>
    <n v="1279"/>
    <x v="17"/>
    <x v="2"/>
    <x v="2"/>
    <s v="Keyboard"/>
    <n v="19.54"/>
    <n v="1"/>
    <n v="19.54"/>
    <s v="C017"/>
    <n v="32"/>
    <s v="Cash"/>
    <x v="2"/>
  </r>
  <r>
    <n v="1280"/>
    <x v="200"/>
    <x v="1"/>
    <x v="3"/>
    <s v="iPad Air"/>
    <n v="549.65"/>
    <n v="4"/>
    <n v="2198.6"/>
    <s v="C050"/>
    <n v="61"/>
    <s v="Cash"/>
    <x v="2"/>
  </r>
  <r>
    <n v="1281"/>
    <x v="201"/>
    <x v="0"/>
    <x v="1"/>
    <s v="Dell XPS 13"/>
    <n v="1415.98"/>
    <n v="1"/>
    <n v="1415.98"/>
    <s v="C008"/>
    <n v="64"/>
    <s v="Credit Card"/>
    <x v="1"/>
  </r>
  <r>
    <n v="1282"/>
    <x v="47"/>
    <x v="0"/>
    <x v="1"/>
    <s v="Dell XPS 13"/>
    <n v="1476.16"/>
    <n v="4"/>
    <n v="5904.64"/>
    <s v="C047"/>
    <n v="62"/>
    <s v="Credit Card"/>
    <x v="1"/>
  </r>
  <r>
    <n v="1283"/>
    <x v="4"/>
    <x v="1"/>
    <x v="0"/>
    <s v="iPhone 14"/>
    <n v="1023.98"/>
    <n v="2"/>
    <n v="2047.96"/>
    <s v="C048"/>
    <n v="33"/>
    <s v="Cash"/>
    <x v="2"/>
  </r>
  <r>
    <n v="1284"/>
    <x v="170"/>
    <x v="1"/>
    <x v="1"/>
    <s v="Dell XPS 13"/>
    <n v="1231.8599999999999"/>
    <n v="4"/>
    <n v="4927.4399999999996"/>
    <s v="C041"/>
    <n v="29"/>
    <s v="Credit Card"/>
    <x v="2"/>
  </r>
  <r>
    <n v="1285"/>
    <x v="129"/>
    <x v="0"/>
    <x v="2"/>
    <s v="Wireless Mouse"/>
    <n v="50.46"/>
    <n v="4"/>
    <n v="201.84"/>
    <s v="C025"/>
    <n v="18"/>
    <s v="Mobile Money"/>
    <x v="1"/>
  </r>
  <r>
    <n v="1286"/>
    <x v="202"/>
    <x v="0"/>
    <x v="3"/>
    <s v="iPad Air"/>
    <n v="546.32000000000005"/>
    <n v="2"/>
    <n v="1092.6400000000001"/>
    <s v="C030"/>
    <n v="25"/>
    <s v="Credit Card"/>
    <x v="0"/>
  </r>
  <r>
    <n v="1287"/>
    <x v="203"/>
    <x v="1"/>
    <x v="1"/>
    <s v="Dell XPS 13"/>
    <n v="1611.31"/>
    <n v="5"/>
    <n v="8056.5499999999993"/>
    <s v="C008"/>
    <n v="40"/>
    <s v="Credit Card"/>
    <x v="1"/>
  </r>
  <r>
    <n v="1288"/>
    <x v="204"/>
    <x v="1"/>
    <x v="2"/>
    <s v="Keyboard"/>
    <n v="92.68"/>
    <n v="5"/>
    <n v="463.40000000000003"/>
    <s v="C006"/>
    <n v="61"/>
    <s v="Credit Card"/>
    <x v="1"/>
  </r>
  <r>
    <n v="1289"/>
    <x v="205"/>
    <x v="0"/>
    <x v="0"/>
    <s v="Galaxy S22"/>
    <n v="955.41"/>
    <n v="4"/>
    <n v="3821.64"/>
    <s v="C039"/>
    <n v="26"/>
    <s v="Cash"/>
    <x v="1"/>
  </r>
  <r>
    <n v="1290"/>
    <x v="95"/>
    <x v="1"/>
    <x v="1"/>
    <s v="Dell XPS 13"/>
    <n v="1554.91"/>
    <n v="4"/>
    <n v="6219.64"/>
    <s v="C019"/>
    <n v="26"/>
    <s v="Credit Card"/>
    <x v="0"/>
  </r>
  <r>
    <n v="1291"/>
    <x v="206"/>
    <x v="0"/>
    <x v="2"/>
    <s v="Wireless Mouse"/>
    <n v="53.61"/>
    <n v="2"/>
    <n v="107.22"/>
    <s v="C025"/>
    <n v="53"/>
    <s v="Cash"/>
    <x v="1"/>
  </r>
  <r>
    <n v="1292"/>
    <x v="137"/>
    <x v="2"/>
    <x v="1"/>
    <s v="Dell XPS 13"/>
    <n v="1488.7"/>
    <n v="1"/>
    <n v="1488.7"/>
    <s v="C037"/>
    <n v="19"/>
    <s v="Mobile Money"/>
    <x v="1"/>
  </r>
  <r>
    <n v="1293"/>
    <x v="109"/>
    <x v="2"/>
    <x v="0"/>
    <s v="iPhone 14"/>
    <n v="784.1"/>
    <n v="4"/>
    <n v="3136.4"/>
    <s v="C037"/>
    <n v="65"/>
    <s v="Mobile Money"/>
    <x v="1"/>
  </r>
  <r>
    <n v="1294"/>
    <x v="207"/>
    <x v="0"/>
    <x v="3"/>
    <s v="iPad Air"/>
    <n v="710.05"/>
    <n v="3"/>
    <n v="2130.1499999999996"/>
    <s v="C035"/>
    <n v="20"/>
    <s v="Mobile Money"/>
    <x v="1"/>
  </r>
  <r>
    <n v="1295"/>
    <x v="174"/>
    <x v="2"/>
    <x v="0"/>
    <s v="Galaxy S22"/>
    <n v="848.85"/>
    <n v="1"/>
    <n v="848.85"/>
    <s v="C029"/>
    <n v="34"/>
    <s v="Credit Card"/>
    <x v="0"/>
  </r>
  <r>
    <n v="1296"/>
    <x v="134"/>
    <x v="0"/>
    <x v="2"/>
    <s v="Wireless Mouse"/>
    <n v="28.89"/>
    <n v="5"/>
    <n v="144.44999999999999"/>
    <s v="C045"/>
    <n v="40"/>
    <s v="Mobile Money"/>
    <x v="2"/>
  </r>
  <r>
    <n v="1297"/>
    <x v="76"/>
    <x v="0"/>
    <x v="3"/>
    <s v="iPad Air"/>
    <n v="725.41"/>
    <n v="1"/>
    <n v="725.41"/>
    <s v="C037"/>
    <n v="40"/>
    <s v="Cash"/>
    <x v="2"/>
  </r>
  <r>
    <n v="1298"/>
    <x v="208"/>
    <x v="2"/>
    <x v="2"/>
    <s v="Keyboard"/>
    <n v="36.04"/>
    <n v="3"/>
    <n v="108.12"/>
    <s v="C033"/>
    <n v="61"/>
    <s v="Mobile Money"/>
    <x v="1"/>
  </r>
  <r>
    <n v="1299"/>
    <x v="209"/>
    <x v="0"/>
    <x v="2"/>
    <s v="Charger"/>
    <n v="21.42"/>
    <n v="2"/>
    <n v="42.84"/>
    <s v="C016"/>
    <n v="27"/>
    <s v="Mobile Money"/>
    <x v="0"/>
  </r>
  <r>
    <n v="1300"/>
    <x v="210"/>
    <x v="2"/>
    <x v="1"/>
    <s v="Dell XPS 13"/>
    <n v="1627.81"/>
    <n v="4"/>
    <n v="6511.24"/>
    <s v="C029"/>
    <n v="22"/>
    <s v="Cash"/>
    <x v="0"/>
  </r>
  <r>
    <n v="1301"/>
    <x v="182"/>
    <x v="2"/>
    <x v="1"/>
    <s v="Dell XPS 13"/>
    <n v="1694.7"/>
    <n v="3"/>
    <n v="5084.1000000000004"/>
    <s v="C030"/>
    <n v="49"/>
    <s v="Credit Card"/>
    <x v="1"/>
  </r>
  <r>
    <n v="1302"/>
    <x v="182"/>
    <x v="1"/>
    <x v="2"/>
    <s v="Charger"/>
    <n v="69.77"/>
    <n v="3"/>
    <n v="209.31"/>
    <s v="C005"/>
    <n v="52"/>
    <s v="Credit Card"/>
    <x v="0"/>
  </r>
  <r>
    <n v="1303"/>
    <x v="57"/>
    <x v="2"/>
    <x v="0"/>
    <s v="iPhone 14"/>
    <n v="868.88"/>
    <n v="5"/>
    <n v="4344.3999999999996"/>
    <s v="C009"/>
    <n v="54"/>
    <s v="Mobile Money"/>
    <x v="2"/>
  </r>
  <r>
    <n v="1304"/>
    <x v="211"/>
    <x v="0"/>
    <x v="0"/>
    <s v="iPhone 14"/>
    <n v="708.14"/>
    <n v="2"/>
    <n v="1416.28"/>
    <s v="C029"/>
    <n v="47"/>
    <s v="Credit Card"/>
    <x v="0"/>
  </r>
  <r>
    <n v="1305"/>
    <x v="212"/>
    <x v="1"/>
    <x v="2"/>
    <s v="Charger"/>
    <n v="37.17"/>
    <n v="3"/>
    <n v="111.51"/>
    <s v="C006"/>
    <n v="59"/>
    <s v="Credit Card"/>
    <x v="1"/>
  </r>
  <r>
    <n v="1306"/>
    <x v="213"/>
    <x v="1"/>
    <x v="0"/>
    <s v="iPhone 14"/>
    <n v="1012.8"/>
    <n v="2"/>
    <n v="2025.6"/>
    <s v="C028"/>
    <n v="59"/>
    <s v="Credit Card"/>
    <x v="1"/>
  </r>
  <r>
    <n v="1307"/>
    <x v="45"/>
    <x v="2"/>
    <x v="0"/>
    <s v="Galaxy S22"/>
    <n v="959.72"/>
    <n v="4"/>
    <n v="3838.88"/>
    <s v="C001"/>
    <n v="18"/>
    <s v="Cash"/>
    <x v="0"/>
  </r>
  <r>
    <n v="1308"/>
    <x v="119"/>
    <x v="1"/>
    <x v="0"/>
    <s v="Galaxy S22"/>
    <n v="814.47"/>
    <n v="1"/>
    <n v="814.47"/>
    <s v="C047"/>
    <n v="24"/>
    <s v="Credit Card"/>
    <x v="1"/>
  </r>
  <r>
    <n v="1309"/>
    <x v="162"/>
    <x v="0"/>
    <x v="1"/>
    <s v="Dell XPS 13"/>
    <n v="1641.58"/>
    <n v="2"/>
    <n v="3283.16"/>
    <s v="C005"/>
    <n v="51"/>
    <s v="Cash"/>
    <x v="2"/>
  </r>
  <r>
    <n v="1310"/>
    <x v="24"/>
    <x v="2"/>
    <x v="1"/>
    <s v="Dell XPS 13"/>
    <n v="1628.08"/>
    <n v="2"/>
    <n v="3256.16"/>
    <s v="C027"/>
    <n v="57"/>
    <s v="Cash"/>
    <x v="0"/>
  </r>
  <r>
    <n v="1311"/>
    <x v="1"/>
    <x v="0"/>
    <x v="0"/>
    <s v="Galaxy S22"/>
    <n v="994.79"/>
    <n v="4"/>
    <n v="3979.16"/>
    <s v="C023"/>
    <n v="45"/>
    <s v="Credit Card"/>
    <x v="1"/>
  </r>
  <r>
    <n v="1312"/>
    <x v="214"/>
    <x v="1"/>
    <x v="0"/>
    <s v="iPhone 14"/>
    <n v="1089.48"/>
    <n v="1"/>
    <n v="1089.48"/>
    <s v="C043"/>
    <n v="37"/>
    <s v="Credit Card"/>
    <x v="2"/>
  </r>
  <r>
    <n v="1313"/>
    <x v="183"/>
    <x v="1"/>
    <x v="1"/>
    <s v="Dell XPS 13"/>
    <n v="1783.8"/>
    <n v="2"/>
    <n v="3567.6"/>
    <s v="C032"/>
    <n v="42"/>
    <s v="Credit Card"/>
    <x v="1"/>
  </r>
  <r>
    <n v="1314"/>
    <x v="215"/>
    <x v="0"/>
    <x v="1"/>
    <s v="Dell XPS 13"/>
    <n v="1986.88"/>
    <n v="3"/>
    <n v="5960.64"/>
    <s v="C009"/>
    <n v="42"/>
    <s v="Mobile Money"/>
    <x v="2"/>
  </r>
  <r>
    <n v="1315"/>
    <x v="102"/>
    <x v="1"/>
    <x v="3"/>
    <s v="iPad Air"/>
    <n v="781.78"/>
    <n v="1"/>
    <n v="781.78"/>
    <s v="C002"/>
    <n v="55"/>
    <s v="Credit Card"/>
    <x v="1"/>
  </r>
  <r>
    <n v="1316"/>
    <x v="216"/>
    <x v="0"/>
    <x v="2"/>
    <s v="Keyboard"/>
    <n v="55.59"/>
    <n v="5"/>
    <n v="277.95000000000005"/>
    <s v="C050"/>
    <n v="44"/>
    <s v="Credit Card"/>
    <x v="1"/>
  </r>
  <r>
    <n v="1317"/>
    <x v="0"/>
    <x v="1"/>
    <x v="1"/>
    <s v="Dell XPS 13"/>
    <n v="1277.47"/>
    <n v="3"/>
    <n v="3832.41"/>
    <s v="C006"/>
    <n v="50"/>
    <s v="Mobile Money"/>
    <x v="0"/>
  </r>
  <r>
    <n v="1318"/>
    <x v="3"/>
    <x v="1"/>
    <x v="1"/>
    <s v="Dell XPS 13"/>
    <n v="1310.17"/>
    <n v="4"/>
    <n v="5240.68"/>
    <s v="C047"/>
    <n v="33"/>
    <s v="Credit Card"/>
    <x v="1"/>
  </r>
  <r>
    <n v="1319"/>
    <x v="217"/>
    <x v="0"/>
    <x v="1"/>
    <s v="Dell XPS 13"/>
    <n v="1309.29"/>
    <n v="2"/>
    <n v="2618.58"/>
    <s v="C008"/>
    <n v="18"/>
    <s v="Mobile Money"/>
    <x v="2"/>
  </r>
  <r>
    <n v="1320"/>
    <x v="218"/>
    <x v="2"/>
    <x v="2"/>
    <s v="Charger"/>
    <n v="56.55"/>
    <n v="3"/>
    <n v="169.64999999999998"/>
    <s v="C011"/>
    <n v="41"/>
    <s v="Credit Card"/>
    <x v="2"/>
  </r>
  <r>
    <n v="1321"/>
    <x v="83"/>
    <x v="1"/>
    <x v="2"/>
    <s v="Wireless Mouse"/>
    <n v="40.15"/>
    <n v="4"/>
    <n v="160.6"/>
    <s v="C018"/>
    <n v="51"/>
    <s v="Credit Card"/>
    <x v="2"/>
  </r>
  <r>
    <n v="1322"/>
    <x v="156"/>
    <x v="1"/>
    <x v="0"/>
    <s v="iPhone 14"/>
    <n v="955.39"/>
    <n v="1"/>
    <n v="955.39"/>
    <s v="C032"/>
    <n v="54"/>
    <s v="Credit Card"/>
    <x v="1"/>
  </r>
  <r>
    <n v="1323"/>
    <x v="62"/>
    <x v="1"/>
    <x v="3"/>
    <s v="iPad Air"/>
    <n v="491.36"/>
    <n v="5"/>
    <n v="2456.8000000000002"/>
    <s v="C001"/>
    <n v="20"/>
    <s v="Mobile Money"/>
    <x v="1"/>
  </r>
  <r>
    <n v="1324"/>
    <x v="107"/>
    <x v="2"/>
    <x v="1"/>
    <s v="Dell XPS 13"/>
    <n v="1178.96"/>
    <n v="1"/>
    <n v="1178.96"/>
    <s v="C036"/>
    <n v="63"/>
    <s v="Mobile Money"/>
    <x v="1"/>
  </r>
  <r>
    <n v="1325"/>
    <x v="185"/>
    <x v="0"/>
    <x v="1"/>
    <s v="Dell XPS 13"/>
    <n v="1271.26"/>
    <n v="1"/>
    <n v="1271.26"/>
    <s v="C037"/>
    <n v="41"/>
    <s v="Credit Card"/>
    <x v="2"/>
  </r>
  <r>
    <n v="1326"/>
    <x v="58"/>
    <x v="0"/>
    <x v="0"/>
    <s v="Galaxy S22"/>
    <n v="1177.04"/>
    <n v="1"/>
    <n v="1177.04"/>
    <s v="C030"/>
    <n v="36"/>
    <s v="Mobile Money"/>
    <x v="1"/>
  </r>
  <r>
    <n v="1327"/>
    <x v="1"/>
    <x v="1"/>
    <x v="1"/>
    <s v="Dell XPS 13"/>
    <n v="1200.67"/>
    <n v="5"/>
    <n v="6003.35"/>
    <s v="C020"/>
    <n v="65"/>
    <s v="Cash"/>
    <x v="1"/>
  </r>
  <r>
    <n v="1328"/>
    <x v="219"/>
    <x v="2"/>
    <x v="2"/>
    <s v="Wireless Mouse"/>
    <n v="75.92"/>
    <n v="5"/>
    <n v="379.6"/>
    <s v="C049"/>
    <n v="33"/>
    <s v="Credit Card"/>
    <x v="0"/>
  </r>
  <r>
    <n v="1329"/>
    <x v="220"/>
    <x v="0"/>
    <x v="1"/>
    <s v="Dell XPS 13"/>
    <n v="1950.99"/>
    <n v="1"/>
    <n v="1950.99"/>
    <s v="C049"/>
    <n v="60"/>
    <s v="Credit Card"/>
    <x v="2"/>
  </r>
  <r>
    <n v="1330"/>
    <x v="35"/>
    <x v="0"/>
    <x v="0"/>
    <s v="Galaxy S22"/>
    <n v="909.91"/>
    <n v="1"/>
    <n v="909.91"/>
    <s v="C010"/>
    <n v="63"/>
    <s v="Credit Card"/>
    <x v="1"/>
  </r>
  <r>
    <n v="1331"/>
    <x v="78"/>
    <x v="1"/>
    <x v="1"/>
    <s v="Dell XPS 13"/>
    <n v="1458.46"/>
    <n v="1"/>
    <n v="1458.46"/>
    <s v="C038"/>
    <n v="24"/>
    <s v="Cash"/>
    <x v="2"/>
  </r>
  <r>
    <n v="1332"/>
    <x v="221"/>
    <x v="0"/>
    <x v="3"/>
    <s v="iPad Air"/>
    <n v="573.99"/>
    <n v="2"/>
    <n v="1147.98"/>
    <s v="C016"/>
    <n v="36"/>
    <s v="Credit Card"/>
    <x v="1"/>
  </r>
  <r>
    <n v="1333"/>
    <x v="221"/>
    <x v="1"/>
    <x v="2"/>
    <s v="Keyboard"/>
    <n v="38.630000000000003"/>
    <n v="3"/>
    <n v="115.89000000000001"/>
    <s v="C015"/>
    <n v="22"/>
    <s v="Mobile Money"/>
    <x v="1"/>
  </r>
  <r>
    <n v="1334"/>
    <x v="54"/>
    <x v="0"/>
    <x v="0"/>
    <s v="Galaxy S22"/>
    <n v="924.78"/>
    <n v="3"/>
    <n v="2774.34"/>
    <s v="C027"/>
    <n v="25"/>
    <s v="Cash"/>
    <x v="0"/>
  </r>
  <r>
    <n v="1335"/>
    <x v="112"/>
    <x v="2"/>
    <x v="1"/>
    <s v="Dell XPS 13"/>
    <n v="1852.48"/>
    <n v="1"/>
    <n v="1852.48"/>
    <s v="C011"/>
    <n v="61"/>
    <s v="Credit Card"/>
    <x v="2"/>
  </r>
  <r>
    <n v="1336"/>
    <x v="222"/>
    <x v="0"/>
    <x v="0"/>
    <s v="iPhone 14"/>
    <n v="774.16"/>
    <n v="2"/>
    <n v="1548.32"/>
    <s v="C023"/>
    <n v="43"/>
    <s v="Cash"/>
    <x v="2"/>
  </r>
  <r>
    <n v="1337"/>
    <x v="223"/>
    <x v="0"/>
    <x v="0"/>
    <s v="iPhone 14"/>
    <n v="1127.3"/>
    <n v="5"/>
    <n v="5636.5"/>
    <s v="C048"/>
    <n v="53"/>
    <s v="Credit Card"/>
    <x v="1"/>
  </r>
  <r>
    <n v="1338"/>
    <x v="22"/>
    <x v="0"/>
    <x v="0"/>
    <s v="Galaxy S22"/>
    <n v="765.36"/>
    <n v="4"/>
    <n v="3061.44"/>
    <s v="C024"/>
    <n v="61"/>
    <s v="Cash"/>
    <x v="2"/>
  </r>
  <r>
    <n v="1339"/>
    <x v="10"/>
    <x v="1"/>
    <x v="0"/>
    <s v="Galaxy S22"/>
    <n v="710.9"/>
    <n v="1"/>
    <n v="710.9"/>
    <s v="C013"/>
    <n v="59"/>
    <s v="Credit Card"/>
    <x v="1"/>
  </r>
  <r>
    <n v="1340"/>
    <x v="170"/>
    <x v="0"/>
    <x v="0"/>
    <s v="iPhone 14"/>
    <n v="725.32"/>
    <n v="5"/>
    <n v="3626.6000000000004"/>
    <s v="C028"/>
    <n v="64"/>
    <s v="Credit Card"/>
    <x v="1"/>
  </r>
  <r>
    <n v="1341"/>
    <x v="211"/>
    <x v="2"/>
    <x v="0"/>
    <s v="Galaxy S22"/>
    <n v="1154.1500000000001"/>
    <n v="3"/>
    <n v="3462.4500000000003"/>
    <s v="C018"/>
    <n v="46"/>
    <s v="Mobile Money"/>
    <x v="1"/>
  </r>
  <r>
    <n v="1342"/>
    <x v="206"/>
    <x v="1"/>
    <x v="0"/>
    <s v="iPhone 14"/>
    <n v="949.45"/>
    <n v="5"/>
    <n v="4747.25"/>
    <s v="C031"/>
    <n v="21"/>
    <s v="Credit Card"/>
    <x v="1"/>
  </r>
  <r>
    <n v="1343"/>
    <x v="28"/>
    <x v="0"/>
    <x v="3"/>
    <s v="iPad Air"/>
    <n v="652.29999999999995"/>
    <n v="5"/>
    <n v="3261.5"/>
    <s v="C002"/>
    <n v="42"/>
    <s v="Mobile Money"/>
    <x v="1"/>
  </r>
  <r>
    <n v="1344"/>
    <x v="30"/>
    <x v="2"/>
    <x v="1"/>
    <s v="Dell XPS 13"/>
    <n v="1388.38"/>
    <n v="2"/>
    <n v="2776.76"/>
    <s v="C002"/>
    <n v="38"/>
    <s v="Cash"/>
    <x v="1"/>
  </r>
  <r>
    <n v="1345"/>
    <x v="161"/>
    <x v="0"/>
    <x v="2"/>
    <s v="Keyboard"/>
    <n v="57.65"/>
    <n v="5"/>
    <n v="288.25"/>
    <s v="C015"/>
    <n v="28"/>
    <s v="Credit Card"/>
    <x v="2"/>
  </r>
  <r>
    <n v="1346"/>
    <x v="224"/>
    <x v="1"/>
    <x v="2"/>
    <s v="Charger"/>
    <n v="15.03"/>
    <n v="2"/>
    <n v="30.06"/>
    <s v="C037"/>
    <n v="42"/>
    <s v="Credit Card"/>
    <x v="0"/>
  </r>
  <r>
    <n v="1347"/>
    <x v="204"/>
    <x v="0"/>
    <x v="0"/>
    <s v="iPhone 14"/>
    <n v="1103.1099999999999"/>
    <n v="3"/>
    <n v="3309.33"/>
    <s v="C038"/>
    <n v="19"/>
    <s v="Mobile Money"/>
    <x v="1"/>
  </r>
  <r>
    <n v="1348"/>
    <x v="124"/>
    <x v="1"/>
    <x v="0"/>
    <s v="Galaxy S22"/>
    <n v="1118.3499999999999"/>
    <n v="4"/>
    <n v="4473.3999999999996"/>
    <s v="C035"/>
    <n v="37"/>
    <s v="Credit Card"/>
    <x v="1"/>
  </r>
  <r>
    <n v="1349"/>
    <x v="225"/>
    <x v="0"/>
    <x v="3"/>
    <s v="iPad Air"/>
    <n v="610.58000000000004"/>
    <n v="1"/>
    <n v="610.58000000000004"/>
    <s v="C022"/>
    <n v="57"/>
    <s v="Credit Card"/>
    <x v="1"/>
  </r>
  <r>
    <n v="1350"/>
    <x v="226"/>
    <x v="2"/>
    <x v="0"/>
    <s v="Galaxy S22"/>
    <n v="993.3"/>
    <n v="2"/>
    <n v="1986.6"/>
    <s v="C050"/>
    <n v="25"/>
    <s v="Mobile Money"/>
    <x v="0"/>
  </r>
  <r>
    <n v="1351"/>
    <x v="227"/>
    <x v="2"/>
    <x v="2"/>
    <s v="Charger"/>
    <n v="45.6"/>
    <n v="1"/>
    <n v="45.6"/>
    <s v="C022"/>
    <n v="37"/>
    <s v="Credit Card"/>
    <x v="0"/>
  </r>
  <r>
    <n v="1352"/>
    <x v="148"/>
    <x v="1"/>
    <x v="2"/>
    <s v="Charger"/>
    <n v="38.56"/>
    <n v="5"/>
    <n v="192.8"/>
    <s v="C045"/>
    <n v="57"/>
    <s v="Mobile Money"/>
    <x v="1"/>
  </r>
  <r>
    <n v="1353"/>
    <x v="18"/>
    <x v="0"/>
    <x v="1"/>
    <s v="Dell XPS 13"/>
    <n v="1127.3499999999999"/>
    <n v="1"/>
    <n v="1127.3499999999999"/>
    <s v="C045"/>
    <n v="54"/>
    <s v="Credit Card"/>
    <x v="0"/>
  </r>
  <r>
    <n v="1354"/>
    <x v="124"/>
    <x v="0"/>
    <x v="0"/>
    <s v="iPhone 14"/>
    <n v="1160.52"/>
    <n v="5"/>
    <n v="5802.6"/>
    <s v="C015"/>
    <n v="58"/>
    <s v="Cash"/>
    <x v="0"/>
  </r>
  <r>
    <n v="1355"/>
    <x v="80"/>
    <x v="2"/>
    <x v="2"/>
    <s v="Wireless Mouse"/>
    <n v="41.21"/>
    <n v="3"/>
    <n v="123.63"/>
    <s v="C011"/>
    <n v="58"/>
    <s v="Mobile Money"/>
    <x v="1"/>
  </r>
  <r>
    <n v="1356"/>
    <x v="228"/>
    <x v="1"/>
    <x v="3"/>
    <s v="iPad Air"/>
    <n v="578.65"/>
    <n v="3"/>
    <n v="1735.9499999999998"/>
    <s v="C014"/>
    <n v="33"/>
    <s v="Cash"/>
    <x v="1"/>
  </r>
  <r>
    <n v="1357"/>
    <x v="199"/>
    <x v="1"/>
    <x v="0"/>
    <s v="iPhone 14"/>
    <n v="919.11"/>
    <n v="4"/>
    <n v="3676.44"/>
    <s v="C011"/>
    <n v="44"/>
    <s v="Credit Card"/>
    <x v="1"/>
  </r>
  <r>
    <n v="1358"/>
    <x v="229"/>
    <x v="2"/>
    <x v="0"/>
    <s v="iPhone 14"/>
    <n v="1094.3599999999999"/>
    <n v="5"/>
    <n v="5471.7999999999993"/>
    <s v="C042"/>
    <n v="61"/>
    <s v="Credit Card"/>
    <x v="1"/>
  </r>
  <r>
    <n v="1359"/>
    <x v="230"/>
    <x v="2"/>
    <x v="0"/>
    <s v="iPhone 14"/>
    <n v="1175.83"/>
    <n v="1"/>
    <n v="1175.83"/>
    <s v="C022"/>
    <n v="28"/>
    <s v="Mobile Money"/>
    <x v="1"/>
  </r>
  <r>
    <n v="1360"/>
    <x v="188"/>
    <x v="1"/>
    <x v="2"/>
    <s v="Wireless Mouse"/>
    <n v="40.42"/>
    <n v="5"/>
    <n v="202.10000000000002"/>
    <s v="C031"/>
    <n v="63"/>
    <s v="Credit Card"/>
    <x v="0"/>
  </r>
  <r>
    <n v="1361"/>
    <x v="24"/>
    <x v="1"/>
    <x v="2"/>
    <s v="Wireless Mouse"/>
    <n v="14.82"/>
    <n v="3"/>
    <n v="44.46"/>
    <s v="C014"/>
    <n v="30"/>
    <s v="Credit Card"/>
    <x v="2"/>
  </r>
  <r>
    <n v="1362"/>
    <x v="23"/>
    <x v="2"/>
    <x v="3"/>
    <s v="iPad Air"/>
    <n v="495.02"/>
    <n v="1"/>
    <n v="495.02"/>
    <s v="C026"/>
    <n v="54"/>
    <s v="Cash"/>
    <x v="1"/>
  </r>
  <r>
    <n v="1363"/>
    <x v="231"/>
    <x v="2"/>
    <x v="0"/>
    <s v="Galaxy S22"/>
    <n v="847.27"/>
    <n v="5"/>
    <n v="4236.3500000000004"/>
    <s v="C031"/>
    <n v="30"/>
    <s v="Credit Card"/>
    <x v="1"/>
  </r>
  <r>
    <n v="1364"/>
    <x v="232"/>
    <x v="2"/>
    <x v="2"/>
    <s v="Keyboard"/>
    <n v="85.94"/>
    <n v="3"/>
    <n v="257.82"/>
    <s v="C026"/>
    <n v="48"/>
    <s v="Credit Card"/>
    <x v="2"/>
  </r>
  <r>
    <n v="1365"/>
    <x v="123"/>
    <x v="1"/>
    <x v="1"/>
    <s v="Dell XPS 13"/>
    <n v="1371.02"/>
    <n v="4"/>
    <n v="5484.08"/>
    <s v="C024"/>
    <n v="29"/>
    <s v="Credit Card"/>
    <x v="1"/>
  </r>
  <r>
    <n v="1366"/>
    <x v="233"/>
    <x v="2"/>
    <x v="0"/>
    <s v="iPhone 14"/>
    <n v="982.12"/>
    <n v="2"/>
    <n v="1964.24"/>
    <s v="C049"/>
    <n v="62"/>
    <s v="Cash"/>
    <x v="1"/>
  </r>
  <r>
    <n v="1367"/>
    <x v="201"/>
    <x v="1"/>
    <x v="1"/>
    <s v="Dell XPS 13"/>
    <n v="1553.6"/>
    <n v="4"/>
    <n v="6214.4"/>
    <s v="C034"/>
    <n v="44"/>
    <s v="Mobile Money"/>
    <x v="2"/>
  </r>
  <r>
    <n v="1368"/>
    <x v="234"/>
    <x v="1"/>
    <x v="2"/>
    <s v="Keyboard"/>
    <n v="36.9"/>
    <n v="4"/>
    <n v="147.6"/>
    <s v="C046"/>
    <n v="20"/>
    <s v="Cash"/>
    <x v="0"/>
  </r>
  <r>
    <n v="1369"/>
    <x v="235"/>
    <x v="1"/>
    <x v="2"/>
    <s v="Wireless Mouse"/>
    <n v="20.83"/>
    <n v="4"/>
    <n v="83.32"/>
    <s v="C012"/>
    <n v="28"/>
    <s v="Mobile Money"/>
    <x v="0"/>
  </r>
  <r>
    <n v="1370"/>
    <x v="236"/>
    <x v="0"/>
    <x v="1"/>
    <s v="Dell XPS 13"/>
    <n v="1201.92"/>
    <n v="2"/>
    <n v="2403.84"/>
    <s v="C039"/>
    <n v="34"/>
    <s v="Credit Card"/>
    <x v="2"/>
  </r>
  <r>
    <n v="1371"/>
    <x v="146"/>
    <x v="0"/>
    <x v="1"/>
    <s v="Dell XPS 13"/>
    <n v="1552.05"/>
    <n v="3"/>
    <n v="4656.1499999999996"/>
    <s v="C034"/>
    <n v="47"/>
    <s v="Mobile Money"/>
    <x v="1"/>
  </r>
  <r>
    <n v="1372"/>
    <x v="81"/>
    <x v="1"/>
    <x v="3"/>
    <s v="iPad Air"/>
    <n v="445.01"/>
    <n v="2"/>
    <n v="890.02"/>
    <s v="C010"/>
    <n v="54"/>
    <s v="Cash"/>
    <x v="2"/>
  </r>
  <r>
    <n v="1373"/>
    <x v="6"/>
    <x v="0"/>
    <x v="3"/>
    <s v="iPad Air"/>
    <n v="714.3"/>
    <n v="5"/>
    <n v="3571.5"/>
    <s v="C023"/>
    <n v="44"/>
    <s v="Credit Card"/>
    <x v="2"/>
  </r>
  <r>
    <n v="1374"/>
    <x v="235"/>
    <x v="1"/>
    <x v="1"/>
    <s v="Dell XPS 13"/>
    <n v="1275.4100000000001"/>
    <n v="2"/>
    <n v="2550.8200000000002"/>
    <s v="C040"/>
    <n v="56"/>
    <s v="Cash"/>
    <x v="1"/>
  </r>
  <r>
    <n v="1375"/>
    <x v="129"/>
    <x v="2"/>
    <x v="3"/>
    <s v="iPad Air"/>
    <n v="698.3"/>
    <n v="3"/>
    <n v="2094.8999999999996"/>
    <s v="C024"/>
    <n v="19"/>
    <s v="Credit Card"/>
    <x v="2"/>
  </r>
  <r>
    <n v="1376"/>
    <x v="237"/>
    <x v="2"/>
    <x v="2"/>
    <s v="Charger"/>
    <n v="71.64"/>
    <n v="2"/>
    <n v="143.28"/>
    <s v="C009"/>
    <n v="37"/>
    <s v="Mobile Money"/>
    <x v="1"/>
  </r>
  <r>
    <n v="1377"/>
    <x v="185"/>
    <x v="2"/>
    <x v="2"/>
    <s v="Charger"/>
    <n v="68.099999999999994"/>
    <n v="2"/>
    <n v="136.19999999999999"/>
    <s v="C029"/>
    <n v="31"/>
    <s v="Mobile Money"/>
    <x v="1"/>
  </r>
  <r>
    <n v="1378"/>
    <x v="138"/>
    <x v="1"/>
    <x v="2"/>
    <s v="Wireless Mouse"/>
    <n v="56.37"/>
    <n v="2"/>
    <n v="112.74"/>
    <s v="C005"/>
    <n v="37"/>
    <s v="Mobile Money"/>
    <x v="1"/>
  </r>
  <r>
    <n v="1379"/>
    <x v="238"/>
    <x v="1"/>
    <x v="0"/>
    <s v="Galaxy S22"/>
    <n v="1137.5899999999999"/>
    <n v="2"/>
    <n v="2275.1799999999998"/>
    <s v="C004"/>
    <n v="33"/>
    <s v="Credit Card"/>
    <x v="1"/>
  </r>
  <r>
    <n v="1380"/>
    <x v="239"/>
    <x v="1"/>
    <x v="0"/>
    <s v="iPhone 14"/>
    <n v="1111.75"/>
    <n v="5"/>
    <n v="5558.75"/>
    <s v="C026"/>
    <n v="58"/>
    <s v="Mobile Money"/>
    <x v="2"/>
  </r>
  <r>
    <n v="1381"/>
    <x v="190"/>
    <x v="2"/>
    <x v="1"/>
    <s v="Dell XPS 13"/>
    <n v="1177.58"/>
    <n v="4"/>
    <n v="4710.32"/>
    <s v="C038"/>
    <n v="53"/>
    <s v="Credit Card"/>
    <x v="1"/>
  </r>
  <r>
    <n v="1382"/>
    <x v="51"/>
    <x v="1"/>
    <x v="2"/>
    <s v="Wireless Mouse"/>
    <n v="35.659999999999997"/>
    <n v="4"/>
    <n v="142.63999999999999"/>
    <s v="C004"/>
    <n v="28"/>
    <s v="Mobile Money"/>
    <x v="2"/>
  </r>
  <r>
    <n v="1383"/>
    <x v="45"/>
    <x v="0"/>
    <x v="3"/>
    <s v="iPad Air"/>
    <n v="507.63"/>
    <n v="4"/>
    <n v="2030.52"/>
    <s v="C033"/>
    <n v="19"/>
    <s v="Mobile Money"/>
    <x v="0"/>
  </r>
  <r>
    <n v="1384"/>
    <x v="211"/>
    <x v="0"/>
    <x v="1"/>
    <s v="Dell XPS 13"/>
    <n v="1647.37"/>
    <n v="5"/>
    <n v="8236.8499999999985"/>
    <s v="C001"/>
    <n v="32"/>
    <s v="Credit Card"/>
    <x v="0"/>
  </r>
  <r>
    <n v="1385"/>
    <x v="205"/>
    <x v="1"/>
    <x v="2"/>
    <s v="Charger"/>
    <n v="34.78"/>
    <n v="4"/>
    <n v="139.12"/>
    <s v="C023"/>
    <n v="47"/>
    <s v="Credit Card"/>
    <x v="1"/>
  </r>
  <r>
    <n v="1386"/>
    <x v="210"/>
    <x v="1"/>
    <x v="2"/>
    <s v="Keyboard"/>
    <n v="62.6"/>
    <n v="1"/>
    <n v="62.6"/>
    <s v="C033"/>
    <n v="60"/>
    <s v="Mobile Money"/>
    <x v="0"/>
  </r>
  <r>
    <n v="1387"/>
    <x v="121"/>
    <x v="1"/>
    <x v="3"/>
    <s v="iPad Air"/>
    <n v="519.39"/>
    <n v="1"/>
    <n v="519.39"/>
    <s v="C031"/>
    <n v="22"/>
    <s v="Credit Card"/>
    <x v="1"/>
  </r>
  <r>
    <n v="1388"/>
    <x v="240"/>
    <x v="2"/>
    <x v="0"/>
    <s v="iPhone 14"/>
    <n v="794.18"/>
    <n v="5"/>
    <n v="3970.8999999999996"/>
    <s v="C049"/>
    <n v="33"/>
    <s v="Mobile Money"/>
    <x v="0"/>
  </r>
  <r>
    <n v="1389"/>
    <x v="241"/>
    <x v="2"/>
    <x v="3"/>
    <s v="iPad Air"/>
    <n v="688.51"/>
    <n v="4"/>
    <n v="2754.04"/>
    <s v="C019"/>
    <n v="34"/>
    <s v="Mobile Money"/>
    <x v="1"/>
  </r>
  <r>
    <n v="1390"/>
    <x v="242"/>
    <x v="1"/>
    <x v="2"/>
    <s v="Charger"/>
    <n v="83.44"/>
    <n v="3"/>
    <n v="250.32"/>
    <s v="C047"/>
    <n v="63"/>
    <s v="Credit Card"/>
    <x v="2"/>
  </r>
  <r>
    <n v="1391"/>
    <x v="234"/>
    <x v="1"/>
    <x v="1"/>
    <s v="Dell XPS 13"/>
    <n v="1845.42"/>
    <n v="5"/>
    <n v="9227.1"/>
    <s v="C012"/>
    <n v="36"/>
    <s v="Credit Card"/>
    <x v="1"/>
  </r>
  <r>
    <n v="1392"/>
    <x v="51"/>
    <x v="1"/>
    <x v="2"/>
    <s v="Wireless Mouse"/>
    <n v="95.22"/>
    <n v="3"/>
    <n v="285.65999999999997"/>
    <s v="C042"/>
    <n v="23"/>
    <s v="Credit Card"/>
    <x v="1"/>
  </r>
  <r>
    <n v="1393"/>
    <x v="35"/>
    <x v="2"/>
    <x v="2"/>
    <s v="Keyboard"/>
    <n v="43.45"/>
    <n v="5"/>
    <n v="217.25"/>
    <s v="C019"/>
    <n v="47"/>
    <s v="Mobile Money"/>
    <x v="1"/>
  </r>
  <r>
    <n v="1394"/>
    <x v="96"/>
    <x v="1"/>
    <x v="3"/>
    <s v="iPad Air"/>
    <n v="588.89"/>
    <n v="2"/>
    <n v="1177.78"/>
    <s v="C033"/>
    <n v="25"/>
    <s v="Mobile Money"/>
    <x v="1"/>
  </r>
  <r>
    <n v="1395"/>
    <x v="165"/>
    <x v="2"/>
    <x v="0"/>
    <s v="Galaxy S22"/>
    <n v="768.68"/>
    <n v="2"/>
    <n v="1537.36"/>
    <s v="C022"/>
    <n v="44"/>
    <s v="Mobile Money"/>
    <x v="0"/>
  </r>
  <r>
    <n v="1396"/>
    <x v="147"/>
    <x v="0"/>
    <x v="1"/>
    <s v="Dell XPS 13"/>
    <n v="1778.94"/>
    <n v="4"/>
    <n v="7115.76"/>
    <s v="C022"/>
    <n v="58"/>
    <s v="Mobile Money"/>
    <x v="1"/>
  </r>
  <r>
    <n v="1397"/>
    <x v="243"/>
    <x v="0"/>
    <x v="1"/>
    <s v="Dell XPS 13"/>
    <n v="1761.19"/>
    <n v="2"/>
    <n v="3522.38"/>
    <s v="C037"/>
    <n v="28"/>
    <s v="Credit Card"/>
    <x v="2"/>
  </r>
  <r>
    <n v="1398"/>
    <x v="167"/>
    <x v="0"/>
    <x v="3"/>
    <s v="iPad Air"/>
    <n v="561.36"/>
    <n v="4"/>
    <n v="2245.44"/>
    <s v="C025"/>
    <n v="18"/>
    <s v="Credit Card"/>
    <x v="1"/>
  </r>
  <r>
    <n v="1399"/>
    <x v="244"/>
    <x v="0"/>
    <x v="2"/>
    <s v="Charger"/>
    <n v="27.15"/>
    <n v="1"/>
    <n v="27.15"/>
    <s v="C041"/>
    <n v="64"/>
    <s v="Credit Card"/>
    <x v="2"/>
  </r>
  <r>
    <n v="1400"/>
    <x v="201"/>
    <x v="2"/>
    <x v="0"/>
    <s v="iPhone 14"/>
    <n v="951.67"/>
    <n v="3"/>
    <n v="2855.0099999999998"/>
    <s v="C011"/>
    <n v="22"/>
    <s v="Mobile Money"/>
    <x v="1"/>
  </r>
  <r>
    <n v="1401"/>
    <x v="159"/>
    <x v="2"/>
    <x v="2"/>
    <s v="Charger"/>
    <n v="57.17"/>
    <n v="4"/>
    <n v="228.68"/>
    <s v="C044"/>
    <n v="26"/>
    <s v="Credit Card"/>
    <x v="0"/>
  </r>
  <r>
    <n v="1402"/>
    <x v="97"/>
    <x v="0"/>
    <x v="0"/>
    <s v="iPhone 14"/>
    <n v="709.56"/>
    <n v="2"/>
    <n v="1419.12"/>
    <s v="C047"/>
    <n v="26"/>
    <s v="Credit Card"/>
    <x v="1"/>
  </r>
  <r>
    <n v="1403"/>
    <x v="245"/>
    <x v="0"/>
    <x v="0"/>
    <s v="Galaxy S22"/>
    <n v="887.6"/>
    <n v="3"/>
    <n v="2662.8"/>
    <s v="C050"/>
    <n v="52"/>
    <s v="Cash"/>
    <x v="2"/>
  </r>
  <r>
    <n v="1404"/>
    <x v="246"/>
    <x v="1"/>
    <x v="0"/>
    <s v="Galaxy S22"/>
    <n v="724.12"/>
    <n v="1"/>
    <n v="724.12"/>
    <s v="C027"/>
    <n v="46"/>
    <s v="Credit Card"/>
    <x v="2"/>
  </r>
  <r>
    <n v="1405"/>
    <x v="20"/>
    <x v="1"/>
    <x v="0"/>
    <s v="Galaxy S22"/>
    <n v="850.56"/>
    <n v="1"/>
    <n v="850.56"/>
    <s v="C043"/>
    <n v="51"/>
    <s v="Credit Card"/>
    <x v="2"/>
  </r>
  <r>
    <n v="1406"/>
    <x v="150"/>
    <x v="2"/>
    <x v="2"/>
    <s v="Wireless Mouse"/>
    <n v="56.04"/>
    <n v="5"/>
    <n v="280.2"/>
    <s v="C008"/>
    <n v="36"/>
    <s v="Credit Card"/>
    <x v="1"/>
  </r>
  <r>
    <n v="1407"/>
    <x v="247"/>
    <x v="1"/>
    <x v="0"/>
    <s v="iPhone 14"/>
    <n v="1115.75"/>
    <n v="2"/>
    <n v="2231.5"/>
    <s v="C023"/>
    <n v="63"/>
    <s v="Credit Card"/>
    <x v="1"/>
  </r>
  <r>
    <n v="1408"/>
    <x v="248"/>
    <x v="2"/>
    <x v="2"/>
    <s v="Charger"/>
    <n v="93.98"/>
    <n v="3"/>
    <n v="281.94"/>
    <s v="C016"/>
    <n v="18"/>
    <s v="Credit Card"/>
    <x v="1"/>
  </r>
  <r>
    <n v="1409"/>
    <x v="249"/>
    <x v="1"/>
    <x v="3"/>
    <s v="iPad Air"/>
    <n v="779.78"/>
    <n v="5"/>
    <n v="3898.8999999999996"/>
    <s v="C005"/>
    <n v="64"/>
    <s v="Mobile Money"/>
    <x v="0"/>
  </r>
  <r>
    <n v="1410"/>
    <x v="9"/>
    <x v="0"/>
    <x v="1"/>
    <s v="Dell XPS 13"/>
    <n v="1264.1300000000001"/>
    <n v="1"/>
    <n v="1264.1300000000001"/>
    <s v="C007"/>
    <n v="29"/>
    <s v="Mobile Money"/>
    <x v="0"/>
  </r>
  <r>
    <n v="1411"/>
    <x v="239"/>
    <x v="1"/>
    <x v="1"/>
    <s v="Dell XPS 13"/>
    <n v="1095"/>
    <n v="1"/>
    <n v="1095"/>
    <s v="C001"/>
    <n v="26"/>
    <s v="Cash"/>
    <x v="1"/>
  </r>
  <r>
    <n v="1412"/>
    <x v="97"/>
    <x v="2"/>
    <x v="2"/>
    <s v="Keyboard"/>
    <n v="89.06"/>
    <n v="1"/>
    <n v="89.06"/>
    <s v="C024"/>
    <n v="39"/>
    <s v="Credit Card"/>
    <x v="1"/>
  </r>
  <r>
    <n v="1413"/>
    <x v="47"/>
    <x v="2"/>
    <x v="2"/>
    <s v="Charger"/>
    <n v="86.56"/>
    <n v="4"/>
    <n v="346.24"/>
    <s v="C042"/>
    <n v="28"/>
    <s v="Credit Card"/>
    <x v="2"/>
  </r>
  <r>
    <n v="1414"/>
    <x v="118"/>
    <x v="0"/>
    <x v="0"/>
    <s v="iPhone 14"/>
    <n v="1101.1300000000001"/>
    <n v="4"/>
    <n v="4404.5200000000004"/>
    <s v="C012"/>
    <n v="57"/>
    <s v="Credit Card"/>
    <x v="1"/>
  </r>
  <r>
    <n v="1415"/>
    <x v="40"/>
    <x v="1"/>
    <x v="2"/>
    <s v="Charger"/>
    <n v="97.61"/>
    <n v="2"/>
    <n v="195.22"/>
    <s v="C031"/>
    <n v="49"/>
    <s v="Credit Card"/>
    <x v="1"/>
  </r>
  <r>
    <n v="1416"/>
    <x v="107"/>
    <x v="0"/>
    <x v="0"/>
    <s v="iPhone 14"/>
    <n v="706.18"/>
    <n v="5"/>
    <n v="3530.8999999999996"/>
    <s v="C050"/>
    <n v="65"/>
    <s v="Cash"/>
    <x v="2"/>
  </r>
  <r>
    <n v="1417"/>
    <x v="250"/>
    <x v="2"/>
    <x v="1"/>
    <s v="Dell XPS 13"/>
    <n v="1432.85"/>
    <n v="2"/>
    <n v="2865.7"/>
    <s v="C031"/>
    <n v="40"/>
    <s v="Cash"/>
    <x v="2"/>
  </r>
  <r>
    <n v="1418"/>
    <x v="251"/>
    <x v="1"/>
    <x v="2"/>
    <s v="Charger"/>
    <n v="14.91"/>
    <n v="2"/>
    <n v="29.82"/>
    <s v="C033"/>
    <n v="48"/>
    <s v="Mobile Money"/>
    <x v="0"/>
  </r>
  <r>
    <n v="1419"/>
    <x v="188"/>
    <x v="2"/>
    <x v="1"/>
    <s v="Dell XPS 13"/>
    <n v="1970.15"/>
    <n v="1"/>
    <n v="1970.15"/>
    <s v="C033"/>
    <n v="32"/>
    <s v="Cash"/>
    <x v="1"/>
  </r>
  <r>
    <n v="1420"/>
    <x v="46"/>
    <x v="0"/>
    <x v="1"/>
    <s v="Dell XPS 13"/>
    <n v="1088.02"/>
    <n v="4"/>
    <n v="4352.08"/>
    <s v="C029"/>
    <n v="38"/>
    <s v="Credit Card"/>
    <x v="1"/>
  </r>
  <r>
    <n v="1421"/>
    <x v="252"/>
    <x v="0"/>
    <x v="0"/>
    <s v="iPhone 14"/>
    <n v="717.92"/>
    <n v="5"/>
    <n v="3589.6"/>
    <s v="C001"/>
    <n v="23"/>
    <s v="Mobile Money"/>
    <x v="0"/>
  </r>
  <r>
    <n v="1422"/>
    <x v="232"/>
    <x v="2"/>
    <x v="2"/>
    <s v="Charger"/>
    <n v="28.62"/>
    <n v="4"/>
    <n v="114.48"/>
    <s v="C022"/>
    <n v="41"/>
    <s v="Mobile Money"/>
    <x v="0"/>
  </r>
  <r>
    <n v="1423"/>
    <x v="117"/>
    <x v="2"/>
    <x v="3"/>
    <s v="iPad Air"/>
    <n v="686.66"/>
    <n v="3"/>
    <n v="2059.98"/>
    <s v="C046"/>
    <n v="46"/>
    <s v="Credit Card"/>
    <x v="2"/>
  </r>
  <r>
    <n v="1424"/>
    <x v="253"/>
    <x v="0"/>
    <x v="1"/>
    <s v="Dell XPS 13"/>
    <n v="1547.69"/>
    <n v="3"/>
    <n v="4643.07"/>
    <s v="C045"/>
    <n v="24"/>
    <s v="Credit Card"/>
    <x v="1"/>
  </r>
  <r>
    <n v="1425"/>
    <x v="22"/>
    <x v="1"/>
    <x v="2"/>
    <s v="Keyboard"/>
    <n v="19.63"/>
    <n v="5"/>
    <n v="98.149999999999991"/>
    <s v="C013"/>
    <n v="30"/>
    <s v="Credit Card"/>
    <x v="0"/>
  </r>
  <r>
    <n v="1426"/>
    <x v="254"/>
    <x v="2"/>
    <x v="2"/>
    <s v="Wireless Mouse"/>
    <n v="74.510000000000005"/>
    <n v="1"/>
    <n v="74.510000000000005"/>
    <s v="C049"/>
    <n v="44"/>
    <s v="Credit Card"/>
    <x v="2"/>
  </r>
  <r>
    <n v="1427"/>
    <x v="21"/>
    <x v="1"/>
    <x v="0"/>
    <s v="iPhone 14"/>
    <n v="928.69"/>
    <n v="5"/>
    <n v="4643.4500000000007"/>
    <s v="C033"/>
    <n v="26"/>
    <s v="Mobile Money"/>
    <x v="1"/>
  </r>
  <r>
    <n v="1428"/>
    <x v="246"/>
    <x v="1"/>
    <x v="2"/>
    <s v="Charger"/>
    <n v="53.46"/>
    <n v="5"/>
    <n v="267.3"/>
    <s v="C050"/>
    <n v="29"/>
    <s v="Cash"/>
    <x v="1"/>
  </r>
  <r>
    <n v="1429"/>
    <x v="177"/>
    <x v="0"/>
    <x v="1"/>
    <s v="Dell XPS 13"/>
    <n v="1504.11"/>
    <n v="4"/>
    <n v="6016.44"/>
    <s v="C027"/>
    <n v="56"/>
    <s v="Mobile Money"/>
    <x v="2"/>
  </r>
  <r>
    <n v="1430"/>
    <x v="166"/>
    <x v="2"/>
    <x v="2"/>
    <s v="Keyboard"/>
    <n v="50.76"/>
    <n v="2"/>
    <n v="101.52"/>
    <s v="C009"/>
    <n v="44"/>
    <s v="Cash"/>
    <x v="0"/>
  </r>
  <r>
    <n v="1431"/>
    <x v="255"/>
    <x v="2"/>
    <x v="2"/>
    <s v="Charger"/>
    <n v="87.46"/>
    <n v="5"/>
    <n v="437.29999999999995"/>
    <s v="C041"/>
    <n v="31"/>
    <s v="Credit Card"/>
    <x v="2"/>
  </r>
  <r>
    <n v="1432"/>
    <x v="159"/>
    <x v="1"/>
    <x v="1"/>
    <s v="Dell XPS 13"/>
    <n v="1981.34"/>
    <n v="2"/>
    <n v="3962.68"/>
    <s v="C033"/>
    <n v="52"/>
    <s v="Cash"/>
    <x v="1"/>
  </r>
  <r>
    <n v="1433"/>
    <x v="256"/>
    <x v="2"/>
    <x v="3"/>
    <s v="iPad Air"/>
    <n v="669.7"/>
    <n v="5"/>
    <n v="3348.5"/>
    <s v="C019"/>
    <n v="45"/>
    <s v="Mobile Money"/>
    <x v="2"/>
  </r>
  <r>
    <n v="1434"/>
    <x v="220"/>
    <x v="2"/>
    <x v="0"/>
    <s v="Galaxy S22"/>
    <n v="799.95"/>
    <n v="2"/>
    <n v="1599.9"/>
    <s v="C019"/>
    <n v="61"/>
    <s v="Credit Card"/>
    <x v="0"/>
  </r>
  <r>
    <n v="1435"/>
    <x v="70"/>
    <x v="2"/>
    <x v="0"/>
    <s v="Galaxy S22"/>
    <n v="879.34"/>
    <n v="4"/>
    <n v="3517.36"/>
    <s v="C007"/>
    <n v="57"/>
    <s v="Mobile Money"/>
    <x v="2"/>
  </r>
  <r>
    <n v="1436"/>
    <x v="257"/>
    <x v="1"/>
    <x v="3"/>
    <s v="iPad Air"/>
    <n v="495.04"/>
    <n v="3"/>
    <n v="1485.1200000000001"/>
    <s v="C045"/>
    <n v="60"/>
    <s v="Credit Card"/>
    <x v="1"/>
  </r>
  <r>
    <n v="1437"/>
    <x v="144"/>
    <x v="1"/>
    <x v="1"/>
    <s v="Dell XPS 13"/>
    <n v="1012.97"/>
    <n v="3"/>
    <n v="3038.91"/>
    <s v="C013"/>
    <n v="57"/>
    <s v="Mobile Money"/>
    <x v="0"/>
  </r>
  <r>
    <n v="1438"/>
    <x v="258"/>
    <x v="0"/>
    <x v="2"/>
    <s v="Charger"/>
    <n v="73.86"/>
    <n v="3"/>
    <n v="221.57999999999998"/>
    <s v="C049"/>
    <n v="55"/>
    <s v="Cash"/>
    <x v="2"/>
  </r>
  <r>
    <n v="1439"/>
    <x v="71"/>
    <x v="2"/>
    <x v="1"/>
    <s v="Dell XPS 13"/>
    <n v="1186.98"/>
    <n v="2"/>
    <n v="2373.96"/>
    <s v="C048"/>
    <n v="50"/>
    <s v="Credit Card"/>
    <x v="1"/>
  </r>
  <r>
    <n v="1440"/>
    <x v="39"/>
    <x v="1"/>
    <x v="0"/>
    <s v="Galaxy S22"/>
    <n v="991.99"/>
    <n v="3"/>
    <n v="2975.9700000000003"/>
    <s v="C001"/>
    <n v="39"/>
    <s v="Credit Card"/>
    <x v="0"/>
  </r>
  <r>
    <n v="1441"/>
    <x v="216"/>
    <x v="0"/>
    <x v="2"/>
    <s v="Charger"/>
    <n v="14.58"/>
    <n v="5"/>
    <n v="72.900000000000006"/>
    <s v="C043"/>
    <n v="37"/>
    <s v="Credit Card"/>
    <x v="2"/>
  </r>
  <r>
    <n v="1442"/>
    <x v="97"/>
    <x v="0"/>
    <x v="2"/>
    <s v="Keyboard"/>
    <n v="57.29"/>
    <n v="2"/>
    <n v="114.58"/>
    <s v="C034"/>
    <n v="22"/>
    <s v="Mobile Money"/>
    <x v="1"/>
  </r>
  <r>
    <n v="1443"/>
    <x v="30"/>
    <x v="1"/>
    <x v="1"/>
    <s v="Dell XPS 13"/>
    <n v="1221.2"/>
    <n v="2"/>
    <n v="2442.4"/>
    <s v="C043"/>
    <n v="39"/>
    <s v="Credit Card"/>
    <x v="1"/>
  </r>
  <r>
    <n v="1444"/>
    <x v="259"/>
    <x v="1"/>
    <x v="1"/>
    <s v="Dell XPS 13"/>
    <n v="1114.72"/>
    <n v="3"/>
    <n v="3344.16"/>
    <s v="C029"/>
    <n v="33"/>
    <s v="Mobile Money"/>
    <x v="2"/>
  </r>
  <r>
    <n v="1445"/>
    <x v="87"/>
    <x v="0"/>
    <x v="2"/>
    <s v="Charger"/>
    <n v="89.71"/>
    <n v="4"/>
    <n v="358.84"/>
    <s v="C008"/>
    <n v="42"/>
    <s v="Credit Card"/>
    <x v="2"/>
  </r>
  <r>
    <n v="1446"/>
    <x v="220"/>
    <x v="1"/>
    <x v="2"/>
    <s v="Keyboard"/>
    <n v="56.29"/>
    <n v="5"/>
    <n v="281.45"/>
    <s v="C029"/>
    <n v="49"/>
    <s v="Credit Card"/>
    <x v="0"/>
  </r>
  <r>
    <n v="1447"/>
    <x v="43"/>
    <x v="2"/>
    <x v="1"/>
    <s v="Dell XPS 13"/>
    <n v="1167.3900000000001"/>
    <n v="5"/>
    <n v="5836.9500000000007"/>
    <s v="C035"/>
    <n v="18"/>
    <s v="Cash"/>
    <x v="1"/>
  </r>
  <r>
    <n v="1448"/>
    <x v="74"/>
    <x v="0"/>
    <x v="2"/>
    <s v="Keyboard"/>
    <n v="85.21"/>
    <n v="2"/>
    <n v="170.42"/>
    <s v="C035"/>
    <n v="62"/>
    <s v="Mobile Money"/>
    <x v="2"/>
  </r>
  <r>
    <n v="1449"/>
    <x v="217"/>
    <x v="1"/>
    <x v="2"/>
    <s v="Wireless Mouse"/>
    <n v="77.22"/>
    <n v="2"/>
    <n v="154.44"/>
    <s v="C002"/>
    <n v="47"/>
    <s v="Mobile Money"/>
    <x v="1"/>
  </r>
  <r>
    <n v="1450"/>
    <x v="227"/>
    <x v="0"/>
    <x v="0"/>
    <s v="iPhone 14"/>
    <n v="979.04"/>
    <n v="5"/>
    <n v="4895.2"/>
    <s v="C015"/>
    <n v="34"/>
    <s v="Credit Card"/>
    <x v="1"/>
  </r>
  <r>
    <n v="1451"/>
    <x v="260"/>
    <x v="2"/>
    <x v="1"/>
    <s v="Dell XPS 13"/>
    <n v="1673.3"/>
    <n v="5"/>
    <n v="8366.5"/>
    <s v="C001"/>
    <n v="59"/>
    <s v="Mobile Money"/>
    <x v="1"/>
  </r>
  <r>
    <n v="1452"/>
    <x v="54"/>
    <x v="0"/>
    <x v="2"/>
    <s v="Wireless Mouse"/>
    <n v="42.19"/>
    <n v="5"/>
    <n v="210.95"/>
    <s v="C007"/>
    <n v="36"/>
    <s v="Mobile Money"/>
    <x v="1"/>
  </r>
  <r>
    <n v="1453"/>
    <x v="1"/>
    <x v="2"/>
    <x v="2"/>
    <s v="Keyboard"/>
    <n v="44.33"/>
    <n v="1"/>
    <n v="44.33"/>
    <s v="C031"/>
    <n v="28"/>
    <s v="Cash"/>
    <x v="1"/>
  </r>
  <r>
    <n v="1454"/>
    <x v="136"/>
    <x v="1"/>
    <x v="0"/>
    <s v="Galaxy S22"/>
    <n v="849.03"/>
    <n v="3"/>
    <n v="2547.09"/>
    <s v="C001"/>
    <n v="53"/>
    <s v="Mobile Money"/>
    <x v="1"/>
  </r>
  <r>
    <n v="1455"/>
    <x v="132"/>
    <x v="0"/>
    <x v="3"/>
    <s v="iPad Air"/>
    <n v="614.86"/>
    <n v="1"/>
    <n v="614.86"/>
    <s v="C020"/>
    <n v="31"/>
    <s v="Mobile Money"/>
    <x v="0"/>
  </r>
  <r>
    <n v="1456"/>
    <x v="201"/>
    <x v="0"/>
    <x v="1"/>
    <s v="Dell XPS 13"/>
    <n v="1160.95"/>
    <n v="2"/>
    <n v="2321.9"/>
    <s v="C040"/>
    <n v="34"/>
    <s v="Credit Card"/>
    <x v="1"/>
  </r>
  <r>
    <n v="1457"/>
    <x v="124"/>
    <x v="0"/>
    <x v="2"/>
    <s v="Charger"/>
    <n v="51.51"/>
    <n v="5"/>
    <n v="257.55"/>
    <s v="C005"/>
    <n v="36"/>
    <s v="Cash"/>
    <x v="1"/>
  </r>
  <r>
    <n v="1458"/>
    <x v="247"/>
    <x v="1"/>
    <x v="3"/>
    <s v="iPad Air"/>
    <n v="542.86"/>
    <n v="2"/>
    <n v="1085.72"/>
    <s v="C007"/>
    <n v="36"/>
    <s v="Cash"/>
    <x v="0"/>
  </r>
  <r>
    <n v="1459"/>
    <x v="261"/>
    <x v="2"/>
    <x v="1"/>
    <s v="Dell XPS 13"/>
    <n v="1693.46"/>
    <n v="2"/>
    <n v="3386.92"/>
    <s v="C037"/>
    <n v="54"/>
    <s v="Credit Card"/>
    <x v="1"/>
  </r>
  <r>
    <n v="1460"/>
    <x v="76"/>
    <x v="0"/>
    <x v="0"/>
    <s v="Galaxy S22"/>
    <n v="1092.83"/>
    <n v="4"/>
    <n v="4371.32"/>
    <s v="C018"/>
    <n v="41"/>
    <s v="Credit Card"/>
    <x v="2"/>
  </r>
  <r>
    <n v="1461"/>
    <x v="154"/>
    <x v="2"/>
    <x v="1"/>
    <s v="Dell XPS 13"/>
    <n v="1486.97"/>
    <n v="1"/>
    <n v="1486.97"/>
    <s v="C012"/>
    <n v="59"/>
    <s v="Cash"/>
    <x v="0"/>
  </r>
  <r>
    <n v="1462"/>
    <x v="22"/>
    <x v="1"/>
    <x v="0"/>
    <s v="Galaxy S22"/>
    <n v="1063.71"/>
    <n v="1"/>
    <n v="1063.71"/>
    <s v="C033"/>
    <n v="58"/>
    <s v="Credit Card"/>
    <x v="2"/>
  </r>
  <r>
    <n v="1463"/>
    <x v="260"/>
    <x v="1"/>
    <x v="0"/>
    <s v="Galaxy S22"/>
    <n v="975.8"/>
    <n v="5"/>
    <n v="4879"/>
    <s v="C035"/>
    <n v="48"/>
    <s v="Cash"/>
    <x v="1"/>
  </r>
  <r>
    <n v="1464"/>
    <x v="136"/>
    <x v="0"/>
    <x v="2"/>
    <s v="Charger"/>
    <n v="75.989999999999995"/>
    <n v="3"/>
    <n v="227.96999999999997"/>
    <s v="C009"/>
    <n v="47"/>
    <s v="Cash"/>
    <x v="1"/>
  </r>
  <r>
    <n v="1465"/>
    <x v="197"/>
    <x v="1"/>
    <x v="0"/>
    <s v="Galaxy S22"/>
    <n v="1123.99"/>
    <n v="5"/>
    <n v="5619.95"/>
    <s v="C044"/>
    <n v="28"/>
    <s v="Mobile Money"/>
    <x v="1"/>
  </r>
  <r>
    <n v="1466"/>
    <x v="11"/>
    <x v="0"/>
    <x v="3"/>
    <s v="iPad Air"/>
    <n v="694.37"/>
    <n v="4"/>
    <n v="2777.48"/>
    <s v="C023"/>
    <n v="20"/>
    <s v="Credit Card"/>
    <x v="1"/>
  </r>
  <r>
    <n v="1467"/>
    <x v="194"/>
    <x v="2"/>
    <x v="1"/>
    <s v="Dell XPS 13"/>
    <n v="1668.59"/>
    <n v="5"/>
    <n v="8342.9499999999989"/>
    <s v="C024"/>
    <n v="42"/>
    <s v="Credit Card"/>
    <x v="1"/>
  </r>
  <r>
    <n v="1468"/>
    <x v="107"/>
    <x v="0"/>
    <x v="2"/>
    <s v="Keyboard"/>
    <n v="19.29"/>
    <n v="5"/>
    <n v="96.449999999999989"/>
    <s v="C041"/>
    <n v="35"/>
    <s v="Mobile Money"/>
    <x v="1"/>
  </r>
  <r>
    <n v="1469"/>
    <x v="30"/>
    <x v="1"/>
    <x v="0"/>
    <s v="iPhone 14"/>
    <n v="882.65"/>
    <n v="1"/>
    <n v="882.65"/>
    <s v="C034"/>
    <n v="34"/>
    <s v="Credit Card"/>
    <x v="0"/>
  </r>
  <r>
    <n v="1470"/>
    <x v="262"/>
    <x v="2"/>
    <x v="1"/>
    <s v="Dell XPS 13"/>
    <n v="1486.86"/>
    <n v="4"/>
    <n v="5947.44"/>
    <s v="C039"/>
    <n v="18"/>
    <s v="Cash"/>
    <x v="1"/>
  </r>
  <r>
    <n v="1471"/>
    <x v="24"/>
    <x v="0"/>
    <x v="0"/>
    <s v="iPhone 14"/>
    <n v="805.76"/>
    <n v="2"/>
    <n v="1611.52"/>
    <s v="C011"/>
    <n v="41"/>
    <s v="Cash"/>
    <x v="0"/>
  </r>
  <r>
    <n v="1472"/>
    <x v="193"/>
    <x v="0"/>
    <x v="1"/>
    <s v="Dell XPS 13"/>
    <n v="1720.26"/>
    <n v="4"/>
    <n v="6881.04"/>
    <s v="C044"/>
    <n v="48"/>
    <s v="Credit Card"/>
    <x v="2"/>
  </r>
  <r>
    <n v="1473"/>
    <x v="7"/>
    <x v="2"/>
    <x v="0"/>
    <s v="Galaxy S22"/>
    <n v="763.94"/>
    <n v="5"/>
    <n v="3819.7000000000003"/>
    <s v="C011"/>
    <n v="26"/>
    <s v="Cash"/>
    <x v="1"/>
  </r>
  <r>
    <n v="1474"/>
    <x v="263"/>
    <x v="0"/>
    <x v="0"/>
    <s v="iPhone 14"/>
    <n v="1161.22"/>
    <n v="5"/>
    <n v="5806.1"/>
    <s v="C026"/>
    <n v="56"/>
    <s v="Mobile Money"/>
    <x v="2"/>
  </r>
  <r>
    <n v="1475"/>
    <x v="193"/>
    <x v="2"/>
    <x v="2"/>
    <s v="Wireless Mouse"/>
    <n v="50.43"/>
    <n v="4"/>
    <n v="201.72"/>
    <s v="C031"/>
    <n v="28"/>
    <s v="Credit Card"/>
    <x v="1"/>
  </r>
  <r>
    <n v="1476"/>
    <x v="264"/>
    <x v="1"/>
    <x v="2"/>
    <s v="Wireless Mouse"/>
    <n v="66.09"/>
    <n v="5"/>
    <n v="330.45000000000005"/>
    <s v="C017"/>
    <n v="28"/>
    <s v="Mobile Money"/>
    <x v="1"/>
  </r>
  <r>
    <n v="1477"/>
    <x v="117"/>
    <x v="1"/>
    <x v="3"/>
    <s v="iPad Air"/>
    <n v="551.28"/>
    <n v="2"/>
    <n v="1102.56"/>
    <s v="C007"/>
    <n v="19"/>
    <s v="Credit Card"/>
    <x v="0"/>
  </r>
  <r>
    <n v="1478"/>
    <x v="245"/>
    <x v="1"/>
    <x v="1"/>
    <s v="Dell XPS 13"/>
    <n v="1605.51"/>
    <n v="2"/>
    <n v="3211.02"/>
    <s v="C031"/>
    <n v="57"/>
    <s v="Cash"/>
    <x v="0"/>
  </r>
  <r>
    <n v="1479"/>
    <x v="127"/>
    <x v="1"/>
    <x v="2"/>
    <s v="Wireless Mouse"/>
    <n v="53.4"/>
    <n v="2"/>
    <n v="106.8"/>
    <s v="C039"/>
    <n v="52"/>
    <s v="Mobile Money"/>
    <x v="0"/>
  </r>
  <r>
    <n v="1480"/>
    <x v="126"/>
    <x v="1"/>
    <x v="1"/>
    <s v="Dell XPS 13"/>
    <n v="1370.38"/>
    <n v="1"/>
    <n v="1370.38"/>
    <s v="C045"/>
    <n v="51"/>
    <s v="Credit Card"/>
    <x v="0"/>
  </r>
  <r>
    <n v="1481"/>
    <x v="120"/>
    <x v="2"/>
    <x v="1"/>
    <s v="Dell XPS 13"/>
    <n v="1425.49"/>
    <n v="3"/>
    <n v="4276.47"/>
    <s v="C031"/>
    <n v="32"/>
    <s v="Mobile Money"/>
    <x v="1"/>
  </r>
  <r>
    <n v="1482"/>
    <x v="265"/>
    <x v="1"/>
    <x v="1"/>
    <s v="Dell XPS 13"/>
    <n v="1005.47"/>
    <n v="1"/>
    <n v="1005.47"/>
    <s v="C037"/>
    <n v="51"/>
    <s v="Credit Card"/>
    <x v="1"/>
  </r>
  <r>
    <n v="1483"/>
    <x v="116"/>
    <x v="0"/>
    <x v="3"/>
    <s v="iPad Air"/>
    <n v="563.54"/>
    <n v="1"/>
    <n v="563.54"/>
    <s v="C010"/>
    <n v="45"/>
    <s v="Cash"/>
    <x v="1"/>
  </r>
  <r>
    <n v="1484"/>
    <x v="266"/>
    <x v="2"/>
    <x v="3"/>
    <s v="iPad Air"/>
    <n v="796.72"/>
    <n v="4"/>
    <n v="3186.88"/>
    <s v="C049"/>
    <n v="31"/>
    <s v="Credit Card"/>
    <x v="2"/>
  </r>
  <r>
    <n v="1485"/>
    <x v="267"/>
    <x v="0"/>
    <x v="1"/>
    <s v="Dell XPS 13"/>
    <n v="1253.78"/>
    <n v="3"/>
    <n v="3761.34"/>
    <s v="C037"/>
    <n v="40"/>
    <s v="Mobile Money"/>
    <x v="1"/>
  </r>
  <r>
    <n v="1486"/>
    <x v="150"/>
    <x v="1"/>
    <x v="0"/>
    <s v="Galaxy S22"/>
    <n v="923.3"/>
    <n v="2"/>
    <n v="1846.6"/>
    <s v="C007"/>
    <n v="31"/>
    <s v="Cash"/>
    <x v="2"/>
  </r>
  <r>
    <n v="1487"/>
    <x v="16"/>
    <x v="1"/>
    <x v="3"/>
    <s v="iPad Air"/>
    <n v="464.3"/>
    <n v="1"/>
    <n v="464.3"/>
    <s v="C006"/>
    <n v="27"/>
    <s v="Credit Card"/>
    <x v="2"/>
  </r>
  <r>
    <n v="1488"/>
    <x v="167"/>
    <x v="0"/>
    <x v="0"/>
    <s v="iPhone 14"/>
    <n v="740.02"/>
    <n v="1"/>
    <n v="740.02"/>
    <s v="C047"/>
    <n v="42"/>
    <s v="Mobile Money"/>
    <x v="1"/>
  </r>
  <r>
    <n v="1489"/>
    <x v="116"/>
    <x v="1"/>
    <x v="0"/>
    <s v="Galaxy S22"/>
    <n v="1172.8599999999999"/>
    <n v="2"/>
    <n v="2345.7199999999998"/>
    <s v="C041"/>
    <n v="49"/>
    <s v="Credit Card"/>
    <x v="1"/>
  </r>
  <r>
    <n v="1490"/>
    <x v="135"/>
    <x v="1"/>
    <x v="0"/>
    <s v="Galaxy S22"/>
    <n v="1091.98"/>
    <n v="5"/>
    <n v="5459.9"/>
    <s v="C034"/>
    <n v="62"/>
    <s v="Credit Card"/>
    <x v="1"/>
  </r>
  <r>
    <n v="1491"/>
    <x v="242"/>
    <x v="2"/>
    <x v="0"/>
    <s v="Galaxy S22"/>
    <n v="1187.82"/>
    <n v="1"/>
    <n v="1187.82"/>
    <s v="C018"/>
    <n v="43"/>
    <s v="Credit Card"/>
    <x v="1"/>
  </r>
  <r>
    <n v="1492"/>
    <x v="91"/>
    <x v="0"/>
    <x v="1"/>
    <s v="Dell XPS 13"/>
    <n v="1919.18"/>
    <n v="5"/>
    <n v="9595.9"/>
    <s v="C019"/>
    <n v="64"/>
    <s v="Mobile Money"/>
    <x v="0"/>
  </r>
  <r>
    <n v="1493"/>
    <x v="268"/>
    <x v="2"/>
    <x v="2"/>
    <s v="Keyboard"/>
    <n v="30.37"/>
    <n v="2"/>
    <n v="60.74"/>
    <s v="C030"/>
    <n v="43"/>
    <s v="Cash"/>
    <x v="1"/>
  </r>
  <r>
    <n v="1494"/>
    <x v="67"/>
    <x v="1"/>
    <x v="0"/>
    <s v="Galaxy S22"/>
    <n v="951.58"/>
    <n v="3"/>
    <n v="2854.7400000000002"/>
    <s v="C008"/>
    <n v="50"/>
    <s v="Mobile Money"/>
    <x v="0"/>
  </r>
  <r>
    <n v="1495"/>
    <x v="61"/>
    <x v="2"/>
    <x v="3"/>
    <s v="iPad Air"/>
    <n v="625.27"/>
    <n v="2"/>
    <n v="1250.54"/>
    <s v="C049"/>
    <n v="39"/>
    <s v="Mobile Money"/>
    <x v="1"/>
  </r>
  <r>
    <n v="1496"/>
    <x v="64"/>
    <x v="1"/>
    <x v="2"/>
    <s v="Keyboard"/>
    <n v="20.46"/>
    <n v="1"/>
    <n v="20.46"/>
    <s v="C025"/>
    <n v="58"/>
    <s v="Mobile Money"/>
    <x v="1"/>
  </r>
  <r>
    <n v="1497"/>
    <x v="269"/>
    <x v="0"/>
    <x v="2"/>
    <s v="Keyboard"/>
    <n v="95.99"/>
    <n v="5"/>
    <n v="479.95"/>
    <s v="C035"/>
    <n v="18"/>
    <s v="Mobile Money"/>
    <x v="1"/>
  </r>
  <r>
    <n v="1498"/>
    <x v="143"/>
    <x v="0"/>
    <x v="1"/>
    <s v="Dell XPS 13"/>
    <n v="1076.03"/>
    <n v="2"/>
    <n v="2152.06"/>
    <s v="C031"/>
    <n v="38"/>
    <s v="Credit Card"/>
    <x v="0"/>
  </r>
  <r>
    <n v="1499"/>
    <x v="83"/>
    <x v="0"/>
    <x v="2"/>
    <s v="Charger"/>
    <n v="93.72"/>
    <n v="2"/>
    <n v="187.44"/>
    <s v="C032"/>
    <n v="65"/>
    <s v="Credit Card"/>
    <x v="2"/>
  </r>
  <r>
    <n v="1500"/>
    <x v="31"/>
    <x v="0"/>
    <x v="0"/>
    <s v="Galaxy S22"/>
    <n v="1118.17"/>
    <n v="3"/>
    <n v="3354.51"/>
    <s v="C010"/>
    <n v="24"/>
    <s v="Credit Car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C8" firstHeaderRow="0"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numFmtId="2" showAll="0"/>
    <pivotField showAll="0"/>
    <pivotField showAll="0"/>
    <pivotField showAll="0"/>
    <pivotField showAll="0"/>
  </pivotFields>
  <rowFields count="1">
    <field x="3"/>
  </rowFields>
  <rowItems count="5">
    <i>
      <x v="1"/>
    </i>
    <i>
      <x v="2"/>
    </i>
    <i>
      <x v="3"/>
    </i>
    <i>
      <x/>
    </i>
    <i t="grand">
      <x/>
    </i>
  </rowItems>
  <colFields count="1">
    <field x="-2"/>
  </colFields>
  <colItems count="2">
    <i>
      <x/>
    </i>
    <i i="1">
      <x v="1"/>
    </i>
  </colItems>
  <dataFields count="2">
    <dataField name="Sum of Sales" fld="7" baseField="0" baseItem="0" numFmtId="168"/>
    <dataField name="Sum of Quantity" fld="6" baseField="0" baseItem="0" numFmtId="1"/>
  </dataFields>
  <formats count="3">
    <format dxfId="17">
      <pivotArea outline="0" collapsedLevelsAreSubtotals="1" fieldPosition="0"/>
    </format>
    <format dxfId="13">
      <pivotArea dataOnly="0" outline="0" fieldPosition="0">
        <references count="1">
          <reference field="4294967294" count="1">
            <x v="1"/>
          </reference>
        </references>
      </pivotArea>
    </format>
    <format dxfId="4">
      <pivotArea outline="0" collapsedLevelsAreSubtotals="1" fieldPosition="0">
        <references count="1">
          <reference field="4294967294" count="1" selected="0">
            <x v="1"/>
          </reference>
        </references>
      </pivotArea>
    </format>
  </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5" firstHeaderRow="1" firstDataRow="1" firstDataCol="1"/>
  <pivotFields count="12">
    <pivotField showAll="0"/>
    <pivotField axis="axisRow" numFmtId="14" showAll="0">
      <items count="15">
        <item x="0"/>
        <item n="Jan" x="1"/>
        <item x="2"/>
        <item x="3"/>
        <item x="4"/>
        <item x="5"/>
        <item x="6"/>
        <item x="7"/>
        <item x="8"/>
        <item x="9"/>
        <item x="10"/>
        <item x="11"/>
        <item x="12"/>
        <item x="13"/>
        <item t="default"/>
      </items>
    </pivotField>
    <pivotField showAll="0">
      <items count="4">
        <item h="1" x="0"/>
        <item h="1" x="2"/>
        <item x="1"/>
        <item t="default"/>
      </items>
    </pivotField>
    <pivotField showAll="0"/>
    <pivotField showAll="0"/>
    <pivotField showAll="0"/>
    <pivotField showAll="0"/>
    <pivotField dataField="1" numFmtId="2" showAll="0"/>
    <pivotField showAll="0"/>
    <pivotField showAll="0"/>
    <pivotField showAll="0"/>
    <pivotField showAll="0">
      <items count="4">
        <item h="1" x="0"/>
        <item h="1" x="1"/>
        <item x="2"/>
        <item t="default"/>
      </items>
    </pivotField>
  </pivotFields>
  <rowFields count="1">
    <field x="1"/>
  </rowFields>
  <rowItems count="12">
    <i>
      <x v="1"/>
    </i>
    <i>
      <x v="3"/>
    </i>
    <i>
      <x v="4"/>
    </i>
    <i>
      <x v="5"/>
    </i>
    <i>
      <x v="6"/>
    </i>
    <i>
      <x v="7"/>
    </i>
    <i>
      <x v="8"/>
    </i>
    <i>
      <x v="9"/>
    </i>
    <i>
      <x v="10"/>
    </i>
    <i>
      <x v="11"/>
    </i>
    <i>
      <x v="12"/>
    </i>
    <i t="grand">
      <x/>
    </i>
  </rowItems>
  <colItems count="1">
    <i/>
  </colItems>
  <dataFields count="1">
    <dataField name="Sum of Sales" fld="7" baseField="0" baseItem="0"/>
  </dataFields>
  <chartFormats count="2">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4" name="PivotTable3"/>
  </pivotTables>
  <data>
    <tabular pivotCacheId="1">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s>
  <data>
    <tabular pivotCacheId="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 cache="Slicer_Store" caption="Store" rowHeight="241300"/>
  <slicer name="Region" cache="Slicer_Region" caption="Region" rowHeight="241300"/>
</slicers>
</file>

<file path=xl/tables/table1.xml><?xml version="1.0" encoding="utf-8"?>
<table xmlns="http://schemas.openxmlformats.org/spreadsheetml/2006/main" id="3" name="Table3" displayName="Table3" ref="A1:L501" totalsRowShown="0">
  <autoFilter ref="A1:L501"/>
  <tableColumns count="12">
    <tableColumn id="1" name="OrderID"/>
    <tableColumn id="2" name="Date" dataDxfId="19"/>
    <tableColumn id="3" name="Store"/>
    <tableColumn id="4" name="ProductCategory"/>
    <tableColumn id="5" name="ProductName"/>
    <tableColumn id="6" name="UnitPrice"/>
    <tableColumn id="7" name="Quantity"/>
    <tableColumn id="8" name="Sales" dataDxfId="18">
      <calculatedColumnFormula>Table3[[#This Row],[UnitPrice]]*Table3[Quantity]</calculatedColumnFormula>
    </tableColumn>
    <tableColumn id="9" name="CustomerID"/>
    <tableColumn id="10" name="CustomerAge"/>
    <tableColumn id="11" name="PaymentMethod"/>
    <tableColumn id="12" name="Regio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C1" sqref="C1"/>
    </sheetView>
  </sheetViews>
  <sheetFormatPr defaultRowHeight="15" x14ac:dyDescent="0.25"/>
  <cols>
    <col min="1" max="1" width="13.140625" bestFit="1" customWidth="1"/>
    <col min="2" max="2" width="12.85546875" bestFit="1" customWidth="1"/>
    <col min="3" max="3" width="15.42578125" style="2" bestFit="1" customWidth="1"/>
  </cols>
  <sheetData>
    <row r="3" spans="1:3" x14ac:dyDescent="0.25">
      <c r="A3" s="4" t="s">
        <v>83</v>
      </c>
      <c r="B3" t="s">
        <v>82</v>
      </c>
      <c r="C3" s="2" t="s">
        <v>85</v>
      </c>
    </row>
    <row r="4" spans="1:3" x14ac:dyDescent="0.25">
      <c r="A4" s="6" t="s">
        <v>18</v>
      </c>
      <c r="B4" s="5">
        <v>502228.32000000007</v>
      </c>
      <c r="C4" s="7">
        <v>339</v>
      </c>
    </row>
    <row r="5" spans="1:3" x14ac:dyDescent="0.25">
      <c r="A5" s="6" t="s">
        <v>12</v>
      </c>
      <c r="B5" s="5">
        <v>435400.03</v>
      </c>
      <c r="C5" s="7">
        <v>463</v>
      </c>
    </row>
    <row r="6" spans="1:3" x14ac:dyDescent="0.25">
      <c r="A6" s="6" t="s">
        <v>34</v>
      </c>
      <c r="B6" s="5">
        <v>135840.71999999997</v>
      </c>
      <c r="C6" s="7">
        <v>223</v>
      </c>
    </row>
    <row r="7" spans="1:3" x14ac:dyDescent="0.25">
      <c r="A7" s="6" t="s">
        <v>24</v>
      </c>
      <c r="B7" s="5">
        <v>25000.450000000008</v>
      </c>
      <c r="C7" s="7">
        <v>449</v>
      </c>
    </row>
    <row r="8" spans="1:3" x14ac:dyDescent="0.25">
      <c r="A8" s="6" t="s">
        <v>84</v>
      </c>
      <c r="B8" s="5">
        <v>1098469.52</v>
      </c>
      <c r="C8" s="7">
        <v>1474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K18" sqref="K18"/>
    </sheetView>
  </sheetViews>
  <sheetFormatPr defaultRowHeight="15" x14ac:dyDescent="0.25"/>
  <cols>
    <col min="1" max="1" width="13.140625" bestFit="1" customWidth="1"/>
    <col min="2" max="2" width="12.140625" bestFit="1" customWidth="1"/>
  </cols>
  <sheetData>
    <row r="3" spans="1:2" x14ac:dyDescent="0.25">
      <c r="A3" s="4" t="s">
        <v>83</v>
      </c>
      <c r="B3" t="s">
        <v>82</v>
      </c>
    </row>
    <row r="4" spans="1:2" x14ac:dyDescent="0.25">
      <c r="A4" s="8" t="s">
        <v>86</v>
      </c>
      <c r="B4" s="3">
        <v>13574.28</v>
      </c>
    </row>
    <row r="5" spans="1:2" x14ac:dyDescent="0.25">
      <c r="A5" s="8" t="s">
        <v>87</v>
      </c>
      <c r="B5" s="3">
        <v>15128.14</v>
      </c>
    </row>
    <row r="6" spans="1:2" x14ac:dyDescent="0.25">
      <c r="A6" s="8" t="s">
        <v>88</v>
      </c>
      <c r="B6" s="3">
        <v>1458.46</v>
      </c>
    </row>
    <row r="7" spans="1:2" x14ac:dyDescent="0.25">
      <c r="A7" s="8" t="s">
        <v>89</v>
      </c>
      <c r="B7" s="3">
        <v>2826.5699999999997</v>
      </c>
    </row>
    <row r="8" spans="1:2" x14ac:dyDescent="0.25">
      <c r="A8" s="8" t="s">
        <v>90</v>
      </c>
      <c r="B8" s="3">
        <v>21682.29</v>
      </c>
    </row>
    <row r="9" spans="1:2" x14ac:dyDescent="0.25">
      <c r="A9" s="8" t="s">
        <v>91</v>
      </c>
      <c r="B9" s="3">
        <v>5993.8</v>
      </c>
    </row>
    <row r="10" spans="1:2" x14ac:dyDescent="0.25">
      <c r="A10" s="8" t="s">
        <v>92</v>
      </c>
      <c r="B10" s="3">
        <v>6756.93</v>
      </c>
    </row>
    <row r="11" spans="1:2" x14ac:dyDescent="0.25">
      <c r="A11" s="8" t="s">
        <v>93</v>
      </c>
      <c r="B11" s="3">
        <v>4708.34</v>
      </c>
    </row>
    <row r="12" spans="1:2" x14ac:dyDescent="0.25">
      <c r="A12" s="8" t="s">
        <v>94</v>
      </c>
      <c r="B12" s="3">
        <v>5036.58</v>
      </c>
    </row>
    <row r="13" spans="1:2" x14ac:dyDescent="0.25">
      <c r="A13" s="8" t="s">
        <v>95</v>
      </c>
      <c r="B13" s="3">
        <v>19347.420000000002</v>
      </c>
    </row>
    <row r="14" spans="1:2" x14ac:dyDescent="0.25">
      <c r="A14" s="8" t="s">
        <v>96</v>
      </c>
      <c r="B14" s="3">
        <v>971.07999999999993</v>
      </c>
    </row>
    <row r="15" spans="1:2" x14ac:dyDescent="0.25">
      <c r="A15" s="8" t="s">
        <v>84</v>
      </c>
      <c r="B15" s="3">
        <v>97483.89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1"/>
  <sheetViews>
    <sheetView tabSelected="1" topLeftCell="A2" workbookViewId="0">
      <selection activeCell="B1" sqref="B1"/>
    </sheetView>
  </sheetViews>
  <sheetFormatPr defaultRowHeight="15" x14ac:dyDescent="0.25"/>
  <cols>
    <col min="1" max="1" width="10.140625" customWidth="1"/>
    <col min="2" max="2" width="13.28515625" customWidth="1"/>
    <col min="3" max="3" width="11.28515625" customWidth="1"/>
    <col min="4" max="5" width="17.85546875" customWidth="1"/>
    <col min="6" max="6" width="11.28515625" customWidth="1"/>
    <col min="7" max="7" width="10.85546875" customWidth="1"/>
    <col min="8" max="8" width="14" style="2" customWidth="1"/>
    <col min="9" max="9" width="13.7109375" bestFit="1" customWidth="1"/>
    <col min="10" max="10" width="15.42578125" bestFit="1" customWidth="1"/>
    <col min="11" max="11" width="18" customWidth="1"/>
    <col min="12" max="12" width="9.28515625" customWidth="1"/>
  </cols>
  <sheetData>
    <row r="1" spans="1:12" x14ac:dyDescent="0.25">
      <c r="A1" t="s">
        <v>0</v>
      </c>
      <c r="B1" t="s">
        <v>1</v>
      </c>
      <c r="C1" t="s">
        <v>2</v>
      </c>
      <c r="D1" t="s">
        <v>3</v>
      </c>
      <c r="E1" t="s">
        <v>4</v>
      </c>
      <c r="F1" t="s">
        <v>5</v>
      </c>
      <c r="G1" t="s">
        <v>6</v>
      </c>
      <c r="H1" s="2" t="s">
        <v>81</v>
      </c>
      <c r="I1" t="s">
        <v>7</v>
      </c>
      <c r="J1" t="s">
        <v>8</v>
      </c>
      <c r="K1" t="s">
        <v>9</v>
      </c>
      <c r="L1" t="s">
        <v>10</v>
      </c>
    </row>
    <row r="2" spans="1:12" x14ac:dyDescent="0.25">
      <c r="A2">
        <v>1001</v>
      </c>
      <c r="B2" s="1">
        <v>45985</v>
      </c>
      <c r="C2" t="s">
        <v>11</v>
      </c>
      <c r="D2" t="s">
        <v>12</v>
      </c>
      <c r="E2" t="s">
        <v>13</v>
      </c>
      <c r="F2">
        <v>822.45</v>
      </c>
      <c r="G2">
        <v>2</v>
      </c>
      <c r="H2" s="2">
        <f>Table3[[#This Row],[UnitPrice]]*Table3[Quantity]</f>
        <v>1644.9</v>
      </c>
      <c r="I2" t="s">
        <v>14</v>
      </c>
      <c r="J2">
        <v>24</v>
      </c>
      <c r="K2" t="s">
        <v>15</v>
      </c>
      <c r="L2" t="s">
        <v>16</v>
      </c>
    </row>
    <row r="3" spans="1:12" x14ac:dyDescent="0.25">
      <c r="A3">
        <v>1002</v>
      </c>
      <c r="B3" s="1">
        <v>45702</v>
      </c>
      <c r="C3" t="s">
        <v>17</v>
      </c>
      <c r="D3" t="s">
        <v>18</v>
      </c>
      <c r="E3" t="s">
        <v>19</v>
      </c>
      <c r="F3">
        <v>1093.7</v>
      </c>
      <c r="G3">
        <v>2</v>
      </c>
      <c r="H3" s="2">
        <f>Table3[[#This Row],[UnitPrice]]*Table3[Quantity]</f>
        <v>2187.4</v>
      </c>
      <c r="I3" t="s">
        <v>20</v>
      </c>
      <c r="J3">
        <v>56</v>
      </c>
      <c r="K3" t="s">
        <v>21</v>
      </c>
      <c r="L3" t="s">
        <v>22</v>
      </c>
    </row>
    <row r="4" spans="1:12" x14ac:dyDescent="0.25">
      <c r="A4">
        <v>1003</v>
      </c>
      <c r="B4" s="1">
        <v>45990</v>
      </c>
      <c r="C4" t="s">
        <v>17</v>
      </c>
      <c r="D4" t="s">
        <v>18</v>
      </c>
      <c r="E4" t="s">
        <v>19</v>
      </c>
      <c r="F4">
        <v>1449.21</v>
      </c>
      <c r="G4">
        <v>3</v>
      </c>
      <c r="H4" s="2">
        <f>Table3[[#This Row],[UnitPrice]]*Table3[Quantity]</f>
        <v>4347.63</v>
      </c>
      <c r="I4" t="s">
        <v>23</v>
      </c>
      <c r="J4">
        <v>28</v>
      </c>
      <c r="K4" t="s">
        <v>15</v>
      </c>
      <c r="L4" t="s">
        <v>22</v>
      </c>
    </row>
    <row r="5" spans="1:12" x14ac:dyDescent="0.25">
      <c r="A5">
        <v>1004</v>
      </c>
      <c r="B5" s="1">
        <v>45737</v>
      </c>
      <c r="C5" t="s">
        <v>11</v>
      </c>
      <c r="D5" t="s">
        <v>24</v>
      </c>
      <c r="E5" t="s">
        <v>25</v>
      </c>
      <c r="F5">
        <v>19.2</v>
      </c>
      <c r="G5">
        <v>4</v>
      </c>
      <c r="H5" s="2">
        <f>Table3[[#This Row],[UnitPrice]]*Table3[Quantity]</f>
        <v>76.8</v>
      </c>
      <c r="I5" t="s">
        <v>26</v>
      </c>
      <c r="J5">
        <v>40</v>
      </c>
      <c r="K5" t="s">
        <v>27</v>
      </c>
      <c r="L5" t="s">
        <v>28</v>
      </c>
    </row>
    <row r="6" spans="1:12" x14ac:dyDescent="0.25">
      <c r="A6">
        <v>1005</v>
      </c>
      <c r="B6" s="1">
        <v>45680</v>
      </c>
      <c r="C6" t="s">
        <v>17</v>
      </c>
      <c r="D6" t="s">
        <v>18</v>
      </c>
      <c r="E6" t="s">
        <v>19</v>
      </c>
      <c r="F6">
        <v>1973.12</v>
      </c>
      <c r="G6">
        <v>4</v>
      </c>
      <c r="H6" s="2">
        <f>Table3[[#This Row],[UnitPrice]]*Table3[Quantity]</f>
        <v>7892.48</v>
      </c>
      <c r="I6" t="s">
        <v>29</v>
      </c>
      <c r="J6">
        <v>53</v>
      </c>
      <c r="K6" t="s">
        <v>21</v>
      </c>
      <c r="L6" t="s">
        <v>28</v>
      </c>
    </row>
    <row r="7" spans="1:12" x14ac:dyDescent="0.25">
      <c r="A7">
        <v>1006</v>
      </c>
      <c r="B7" s="1">
        <v>45843</v>
      </c>
      <c r="C7" t="s">
        <v>17</v>
      </c>
      <c r="D7" t="s">
        <v>12</v>
      </c>
      <c r="E7" t="s">
        <v>30</v>
      </c>
      <c r="F7">
        <v>722.91</v>
      </c>
      <c r="G7">
        <v>2</v>
      </c>
      <c r="H7" s="2">
        <f>Table3[[#This Row],[UnitPrice]]*Table3[Quantity]</f>
        <v>1445.82</v>
      </c>
      <c r="I7" t="s">
        <v>31</v>
      </c>
      <c r="J7">
        <v>36</v>
      </c>
      <c r="K7" t="s">
        <v>27</v>
      </c>
      <c r="L7" t="s">
        <v>16</v>
      </c>
    </row>
    <row r="8" spans="1:12" x14ac:dyDescent="0.25">
      <c r="A8">
        <v>1007</v>
      </c>
      <c r="B8" s="1">
        <v>45709</v>
      </c>
      <c r="C8" t="s">
        <v>32</v>
      </c>
      <c r="D8" t="s">
        <v>12</v>
      </c>
      <c r="E8" t="s">
        <v>13</v>
      </c>
      <c r="F8">
        <v>781.33</v>
      </c>
      <c r="G8">
        <v>3</v>
      </c>
      <c r="H8" s="2">
        <f>Table3[[#This Row],[UnitPrice]]*Table3[Quantity]</f>
        <v>2343.9900000000002</v>
      </c>
      <c r="I8" t="s">
        <v>33</v>
      </c>
      <c r="J8">
        <v>60</v>
      </c>
      <c r="K8" t="s">
        <v>21</v>
      </c>
      <c r="L8" t="s">
        <v>16</v>
      </c>
    </row>
    <row r="9" spans="1:12" x14ac:dyDescent="0.25">
      <c r="A9">
        <v>1008</v>
      </c>
      <c r="B9" s="1">
        <v>45989</v>
      </c>
      <c r="C9" t="s">
        <v>11</v>
      </c>
      <c r="D9" t="s">
        <v>34</v>
      </c>
      <c r="E9" t="s">
        <v>35</v>
      </c>
      <c r="F9">
        <v>613.66</v>
      </c>
      <c r="G9">
        <v>2</v>
      </c>
      <c r="H9" s="2">
        <f>Table3[[#This Row],[UnitPrice]]*Table3[Quantity]</f>
        <v>1227.32</v>
      </c>
      <c r="I9" t="s">
        <v>36</v>
      </c>
      <c r="J9">
        <v>47</v>
      </c>
      <c r="K9" t="s">
        <v>21</v>
      </c>
      <c r="L9" t="s">
        <v>16</v>
      </c>
    </row>
    <row r="10" spans="1:12" x14ac:dyDescent="0.25">
      <c r="A10">
        <v>1009</v>
      </c>
      <c r="B10" s="1">
        <v>45985</v>
      </c>
      <c r="C10" t="s">
        <v>17</v>
      </c>
      <c r="D10" t="s">
        <v>34</v>
      </c>
      <c r="E10" t="s">
        <v>35</v>
      </c>
      <c r="F10">
        <v>737.14</v>
      </c>
      <c r="G10">
        <v>1</v>
      </c>
      <c r="H10" s="2">
        <f>Table3[[#This Row],[UnitPrice]]*Table3[Quantity]</f>
        <v>737.14</v>
      </c>
      <c r="I10" t="s">
        <v>37</v>
      </c>
      <c r="J10">
        <v>20</v>
      </c>
      <c r="K10" t="s">
        <v>27</v>
      </c>
      <c r="L10" t="s">
        <v>22</v>
      </c>
    </row>
    <row r="11" spans="1:12" x14ac:dyDescent="0.25">
      <c r="A11">
        <v>1010</v>
      </c>
      <c r="B11" s="1">
        <v>45691</v>
      </c>
      <c r="C11" t="s">
        <v>11</v>
      </c>
      <c r="D11" t="s">
        <v>24</v>
      </c>
      <c r="E11" t="s">
        <v>38</v>
      </c>
      <c r="F11">
        <v>88.87</v>
      </c>
      <c r="G11">
        <v>3</v>
      </c>
      <c r="H11" s="2">
        <f>Table3[[#This Row],[UnitPrice]]*Table3[Quantity]</f>
        <v>266.61</v>
      </c>
      <c r="I11" t="s">
        <v>33</v>
      </c>
      <c r="J11">
        <v>59</v>
      </c>
      <c r="K11" t="s">
        <v>21</v>
      </c>
      <c r="L11" t="s">
        <v>16</v>
      </c>
    </row>
    <row r="12" spans="1:12" x14ac:dyDescent="0.25">
      <c r="A12">
        <v>1011</v>
      </c>
      <c r="B12" s="1">
        <v>45987</v>
      </c>
      <c r="C12" t="s">
        <v>32</v>
      </c>
      <c r="D12" t="s">
        <v>12</v>
      </c>
      <c r="E12" t="s">
        <v>30</v>
      </c>
      <c r="F12">
        <v>823.31</v>
      </c>
      <c r="G12">
        <v>5</v>
      </c>
      <c r="H12" s="2">
        <f>Table3[[#This Row],[UnitPrice]]*Table3[Quantity]</f>
        <v>4116.5499999999993</v>
      </c>
      <c r="I12" t="s">
        <v>39</v>
      </c>
      <c r="J12">
        <v>34</v>
      </c>
      <c r="K12" t="s">
        <v>27</v>
      </c>
      <c r="L12" t="s">
        <v>22</v>
      </c>
    </row>
    <row r="13" spans="1:12" x14ac:dyDescent="0.25">
      <c r="A13">
        <v>1012</v>
      </c>
      <c r="B13" s="1">
        <v>45956</v>
      </c>
      <c r="C13" t="s">
        <v>32</v>
      </c>
      <c r="D13" t="s">
        <v>18</v>
      </c>
      <c r="E13" t="s">
        <v>19</v>
      </c>
      <c r="F13">
        <v>1509.53</v>
      </c>
      <c r="G13">
        <v>1</v>
      </c>
      <c r="H13" s="2">
        <f>Table3[[#This Row],[UnitPrice]]*Table3[Quantity]</f>
        <v>1509.53</v>
      </c>
      <c r="I13" t="s">
        <v>40</v>
      </c>
      <c r="J13">
        <v>21</v>
      </c>
      <c r="K13" t="s">
        <v>27</v>
      </c>
      <c r="L13" t="s">
        <v>22</v>
      </c>
    </row>
    <row r="14" spans="1:12" x14ac:dyDescent="0.25">
      <c r="A14">
        <v>1013</v>
      </c>
      <c r="B14" s="1">
        <v>45739</v>
      </c>
      <c r="C14" t="s">
        <v>17</v>
      </c>
      <c r="D14" t="s">
        <v>18</v>
      </c>
      <c r="E14" t="s">
        <v>19</v>
      </c>
      <c r="F14">
        <v>1384.77</v>
      </c>
      <c r="G14">
        <v>5</v>
      </c>
      <c r="H14" s="2">
        <f>Table3[[#This Row],[UnitPrice]]*Table3[Quantity]</f>
        <v>6923.85</v>
      </c>
      <c r="I14" t="s">
        <v>41</v>
      </c>
      <c r="J14">
        <v>51</v>
      </c>
      <c r="K14" t="s">
        <v>21</v>
      </c>
      <c r="L14" t="s">
        <v>28</v>
      </c>
    </row>
    <row r="15" spans="1:12" x14ac:dyDescent="0.25">
      <c r="A15">
        <v>1014</v>
      </c>
      <c r="B15" s="1">
        <v>45663</v>
      </c>
      <c r="C15" t="s">
        <v>17</v>
      </c>
      <c r="D15" t="s">
        <v>24</v>
      </c>
      <c r="E15" t="s">
        <v>38</v>
      </c>
      <c r="F15">
        <v>89.63</v>
      </c>
      <c r="G15">
        <v>3</v>
      </c>
      <c r="H15" s="2">
        <f>Table3[[#This Row],[UnitPrice]]*Table3[Quantity]</f>
        <v>268.89</v>
      </c>
      <c r="I15" t="s">
        <v>31</v>
      </c>
      <c r="J15">
        <v>59</v>
      </c>
      <c r="K15" t="s">
        <v>21</v>
      </c>
      <c r="L15" t="s">
        <v>22</v>
      </c>
    </row>
    <row r="16" spans="1:12" x14ac:dyDescent="0.25">
      <c r="A16">
        <v>1015</v>
      </c>
      <c r="B16" s="1">
        <v>45738</v>
      </c>
      <c r="C16" t="s">
        <v>32</v>
      </c>
      <c r="D16" t="s">
        <v>12</v>
      </c>
      <c r="E16" t="s">
        <v>13</v>
      </c>
      <c r="F16">
        <v>1185.94</v>
      </c>
      <c r="G16">
        <v>2</v>
      </c>
      <c r="H16" s="2">
        <f>Table3[[#This Row],[UnitPrice]]*Table3[Quantity]</f>
        <v>2371.88</v>
      </c>
      <c r="I16" t="s">
        <v>20</v>
      </c>
      <c r="J16">
        <v>24</v>
      </c>
      <c r="K16" t="s">
        <v>27</v>
      </c>
      <c r="L16" t="s">
        <v>22</v>
      </c>
    </row>
    <row r="17" spans="1:12" x14ac:dyDescent="0.25">
      <c r="A17">
        <v>1016</v>
      </c>
      <c r="B17" s="1">
        <v>45985</v>
      </c>
      <c r="C17" t="s">
        <v>17</v>
      </c>
      <c r="D17" t="s">
        <v>34</v>
      </c>
      <c r="E17" t="s">
        <v>35</v>
      </c>
      <c r="F17">
        <v>549.57000000000005</v>
      </c>
      <c r="G17">
        <v>2</v>
      </c>
      <c r="H17" s="2">
        <f>Table3[[#This Row],[UnitPrice]]*Table3[Quantity]</f>
        <v>1099.1400000000001</v>
      </c>
      <c r="I17" t="s">
        <v>39</v>
      </c>
      <c r="J17">
        <v>51</v>
      </c>
      <c r="K17" t="s">
        <v>27</v>
      </c>
      <c r="L17" t="s">
        <v>28</v>
      </c>
    </row>
    <row r="18" spans="1:12" x14ac:dyDescent="0.25">
      <c r="A18">
        <v>1017</v>
      </c>
      <c r="B18" s="1">
        <v>45908</v>
      </c>
      <c r="C18" t="s">
        <v>11</v>
      </c>
      <c r="D18" t="s">
        <v>12</v>
      </c>
      <c r="E18" t="s">
        <v>13</v>
      </c>
      <c r="F18">
        <v>1139.3599999999999</v>
      </c>
      <c r="G18">
        <v>3</v>
      </c>
      <c r="H18" s="2">
        <f>Table3[[#This Row],[UnitPrice]]*Table3[Quantity]</f>
        <v>3418.08</v>
      </c>
      <c r="I18" t="s">
        <v>42</v>
      </c>
      <c r="J18">
        <v>21</v>
      </c>
      <c r="K18" t="s">
        <v>21</v>
      </c>
      <c r="L18" t="s">
        <v>28</v>
      </c>
    </row>
    <row r="19" spans="1:12" x14ac:dyDescent="0.25">
      <c r="A19">
        <v>1018</v>
      </c>
      <c r="B19" s="1">
        <v>45698</v>
      </c>
      <c r="C19" t="s">
        <v>11</v>
      </c>
      <c r="D19" t="s">
        <v>24</v>
      </c>
      <c r="E19" t="s">
        <v>43</v>
      </c>
      <c r="F19">
        <v>98.02</v>
      </c>
      <c r="G19">
        <v>5</v>
      </c>
      <c r="H19" s="2">
        <f>Table3[[#This Row],[UnitPrice]]*Table3[Quantity]</f>
        <v>490.09999999999997</v>
      </c>
      <c r="I19" t="s">
        <v>31</v>
      </c>
      <c r="J19">
        <v>26</v>
      </c>
      <c r="K19" t="s">
        <v>21</v>
      </c>
      <c r="L19" t="s">
        <v>22</v>
      </c>
    </row>
    <row r="20" spans="1:12" x14ac:dyDescent="0.25">
      <c r="A20">
        <v>1019</v>
      </c>
      <c r="B20" s="1">
        <v>45939</v>
      </c>
      <c r="C20" t="s">
        <v>11</v>
      </c>
      <c r="D20" t="s">
        <v>12</v>
      </c>
      <c r="E20" t="s">
        <v>13</v>
      </c>
      <c r="F20">
        <v>1182.18</v>
      </c>
      <c r="G20">
        <v>5</v>
      </c>
      <c r="H20" s="2">
        <f>Table3[[#This Row],[UnitPrice]]*Table3[Quantity]</f>
        <v>5910.9000000000005</v>
      </c>
      <c r="I20" t="s">
        <v>40</v>
      </c>
      <c r="J20">
        <v>64</v>
      </c>
      <c r="K20" t="s">
        <v>15</v>
      </c>
      <c r="L20" t="s">
        <v>28</v>
      </c>
    </row>
    <row r="21" spans="1:12" x14ac:dyDescent="0.25">
      <c r="A21">
        <v>1020</v>
      </c>
      <c r="B21" s="1">
        <v>45862</v>
      </c>
      <c r="C21" t="s">
        <v>17</v>
      </c>
      <c r="D21" t="s">
        <v>34</v>
      </c>
      <c r="E21" t="s">
        <v>35</v>
      </c>
      <c r="F21">
        <v>759.85</v>
      </c>
      <c r="G21">
        <v>4</v>
      </c>
      <c r="H21" s="2">
        <f>Table3[[#This Row],[UnitPrice]]*Table3[Quantity]</f>
        <v>3039.4</v>
      </c>
      <c r="I21" t="s">
        <v>44</v>
      </c>
      <c r="J21">
        <v>33</v>
      </c>
      <c r="K21" t="s">
        <v>21</v>
      </c>
      <c r="L21" t="s">
        <v>22</v>
      </c>
    </row>
    <row r="22" spans="1:12" x14ac:dyDescent="0.25">
      <c r="A22">
        <v>1021</v>
      </c>
      <c r="B22" s="1">
        <v>45959</v>
      </c>
      <c r="C22" t="s">
        <v>17</v>
      </c>
      <c r="D22" t="s">
        <v>12</v>
      </c>
      <c r="E22" t="s">
        <v>30</v>
      </c>
      <c r="F22">
        <v>703.6</v>
      </c>
      <c r="G22">
        <v>1</v>
      </c>
      <c r="H22" s="2">
        <f>Table3[[#This Row],[UnitPrice]]*Table3[Quantity]</f>
        <v>703.6</v>
      </c>
      <c r="I22" t="s">
        <v>37</v>
      </c>
      <c r="J22">
        <v>22</v>
      </c>
      <c r="K22" t="s">
        <v>27</v>
      </c>
      <c r="L22" t="s">
        <v>16</v>
      </c>
    </row>
    <row r="23" spans="1:12" x14ac:dyDescent="0.25">
      <c r="A23">
        <v>1022</v>
      </c>
      <c r="B23" s="1">
        <v>45694</v>
      </c>
      <c r="C23" t="s">
        <v>17</v>
      </c>
      <c r="D23" t="s">
        <v>12</v>
      </c>
      <c r="E23" t="s">
        <v>13</v>
      </c>
      <c r="F23">
        <v>807.12</v>
      </c>
      <c r="G23">
        <v>2</v>
      </c>
      <c r="H23" s="2">
        <f>Table3[[#This Row],[UnitPrice]]*Table3[Quantity]</f>
        <v>1614.24</v>
      </c>
      <c r="I23" t="s">
        <v>45</v>
      </c>
      <c r="J23">
        <v>54</v>
      </c>
      <c r="K23" t="s">
        <v>15</v>
      </c>
      <c r="L23" t="s">
        <v>22</v>
      </c>
    </row>
    <row r="24" spans="1:12" x14ac:dyDescent="0.25">
      <c r="A24">
        <v>1023</v>
      </c>
      <c r="B24" s="1">
        <v>45900</v>
      </c>
      <c r="C24" t="s">
        <v>32</v>
      </c>
      <c r="D24" t="s">
        <v>12</v>
      </c>
      <c r="E24" t="s">
        <v>30</v>
      </c>
      <c r="F24">
        <v>1029.49</v>
      </c>
      <c r="G24">
        <v>3</v>
      </c>
      <c r="H24" s="2">
        <f>Table3[[#This Row],[UnitPrice]]*Table3[Quantity]</f>
        <v>3088.4700000000003</v>
      </c>
      <c r="I24" t="s">
        <v>46</v>
      </c>
      <c r="J24">
        <v>44</v>
      </c>
      <c r="K24" t="s">
        <v>21</v>
      </c>
      <c r="L24" t="s">
        <v>28</v>
      </c>
    </row>
    <row r="25" spans="1:12" x14ac:dyDescent="0.25">
      <c r="A25">
        <v>1024</v>
      </c>
      <c r="B25" s="1">
        <v>46002</v>
      </c>
      <c r="C25" t="s">
        <v>17</v>
      </c>
      <c r="D25" t="s">
        <v>24</v>
      </c>
      <c r="E25" t="s">
        <v>43</v>
      </c>
      <c r="F25">
        <v>15.46</v>
      </c>
      <c r="G25">
        <v>3</v>
      </c>
      <c r="H25" s="2">
        <f>Table3[[#This Row],[UnitPrice]]*Table3[Quantity]</f>
        <v>46.38</v>
      </c>
      <c r="I25" t="s">
        <v>26</v>
      </c>
      <c r="J25">
        <v>33</v>
      </c>
      <c r="K25" t="s">
        <v>21</v>
      </c>
      <c r="L25" t="s">
        <v>28</v>
      </c>
    </row>
    <row r="26" spans="1:12" x14ac:dyDescent="0.25">
      <c r="A26">
        <v>1025</v>
      </c>
      <c r="B26" s="1">
        <v>45729</v>
      </c>
      <c r="C26" t="s">
        <v>32</v>
      </c>
      <c r="D26" t="s">
        <v>12</v>
      </c>
      <c r="E26" t="s">
        <v>13</v>
      </c>
      <c r="F26">
        <v>824.9</v>
      </c>
      <c r="G26">
        <v>1</v>
      </c>
      <c r="H26" s="2">
        <f>Table3[[#This Row],[UnitPrice]]*Table3[Quantity]</f>
        <v>824.9</v>
      </c>
      <c r="I26" t="s">
        <v>47</v>
      </c>
      <c r="J26">
        <v>53</v>
      </c>
      <c r="K26" t="s">
        <v>21</v>
      </c>
      <c r="L26" t="s">
        <v>28</v>
      </c>
    </row>
    <row r="27" spans="1:12" x14ac:dyDescent="0.25">
      <c r="A27">
        <v>1026</v>
      </c>
      <c r="B27" s="1">
        <v>45934</v>
      </c>
      <c r="C27" t="s">
        <v>11</v>
      </c>
      <c r="D27" t="s">
        <v>24</v>
      </c>
      <c r="E27" t="s">
        <v>43</v>
      </c>
      <c r="F27">
        <v>24.97</v>
      </c>
      <c r="G27">
        <v>4</v>
      </c>
      <c r="H27" s="2">
        <f>Table3[[#This Row],[UnitPrice]]*Table3[Quantity]</f>
        <v>99.88</v>
      </c>
      <c r="I27" t="s">
        <v>48</v>
      </c>
      <c r="J27">
        <v>31</v>
      </c>
      <c r="K27" t="s">
        <v>27</v>
      </c>
      <c r="L27" t="s">
        <v>16</v>
      </c>
    </row>
    <row r="28" spans="1:12" x14ac:dyDescent="0.25">
      <c r="A28">
        <v>1027</v>
      </c>
      <c r="B28" s="1">
        <v>45742</v>
      </c>
      <c r="C28" t="s">
        <v>32</v>
      </c>
      <c r="D28" t="s">
        <v>12</v>
      </c>
      <c r="E28" t="s">
        <v>13</v>
      </c>
      <c r="F28">
        <v>832.6</v>
      </c>
      <c r="G28">
        <v>4</v>
      </c>
      <c r="H28" s="2">
        <f>Table3[[#This Row],[UnitPrice]]*Table3[Quantity]</f>
        <v>3330.4</v>
      </c>
      <c r="I28" t="s">
        <v>49</v>
      </c>
      <c r="J28">
        <v>45</v>
      </c>
      <c r="K28" t="s">
        <v>15</v>
      </c>
      <c r="L28" t="s">
        <v>28</v>
      </c>
    </row>
    <row r="29" spans="1:12" x14ac:dyDescent="0.25">
      <c r="A29">
        <v>1028</v>
      </c>
      <c r="B29" s="1">
        <v>45942</v>
      </c>
      <c r="C29" t="s">
        <v>17</v>
      </c>
      <c r="D29" t="s">
        <v>24</v>
      </c>
      <c r="E29" t="s">
        <v>43</v>
      </c>
      <c r="F29">
        <v>27.09</v>
      </c>
      <c r="G29">
        <v>2</v>
      </c>
      <c r="H29" s="2">
        <f>Table3[[#This Row],[UnitPrice]]*Table3[Quantity]</f>
        <v>54.18</v>
      </c>
      <c r="I29" t="s">
        <v>50</v>
      </c>
      <c r="J29">
        <v>55</v>
      </c>
      <c r="K29" t="s">
        <v>27</v>
      </c>
      <c r="L29" t="s">
        <v>22</v>
      </c>
    </row>
    <row r="30" spans="1:12" x14ac:dyDescent="0.25">
      <c r="A30">
        <v>1029</v>
      </c>
      <c r="B30" s="1">
        <v>45818</v>
      </c>
      <c r="C30" t="s">
        <v>11</v>
      </c>
      <c r="D30" t="s">
        <v>12</v>
      </c>
      <c r="E30" t="s">
        <v>13</v>
      </c>
      <c r="F30">
        <v>951.43</v>
      </c>
      <c r="G30">
        <v>5</v>
      </c>
      <c r="H30" s="2">
        <f>Table3[[#This Row],[UnitPrice]]*Table3[Quantity]</f>
        <v>4757.1499999999996</v>
      </c>
      <c r="I30" t="s">
        <v>36</v>
      </c>
      <c r="J30">
        <v>21</v>
      </c>
      <c r="K30" t="s">
        <v>27</v>
      </c>
      <c r="L30" t="s">
        <v>22</v>
      </c>
    </row>
    <row r="31" spans="1:12" x14ac:dyDescent="0.25">
      <c r="A31">
        <v>1030</v>
      </c>
      <c r="B31" s="1">
        <v>45753</v>
      </c>
      <c r="C31" t="s">
        <v>11</v>
      </c>
      <c r="D31" t="s">
        <v>34</v>
      </c>
      <c r="E31" t="s">
        <v>35</v>
      </c>
      <c r="F31">
        <v>561.51</v>
      </c>
      <c r="G31">
        <v>5</v>
      </c>
      <c r="H31" s="2">
        <f>Table3[[#This Row],[UnitPrice]]*Table3[Quantity]</f>
        <v>2807.55</v>
      </c>
      <c r="I31" t="s">
        <v>42</v>
      </c>
      <c r="J31">
        <v>55</v>
      </c>
      <c r="K31" t="s">
        <v>15</v>
      </c>
      <c r="L31" t="s">
        <v>28</v>
      </c>
    </row>
    <row r="32" spans="1:12" x14ac:dyDescent="0.25">
      <c r="A32">
        <v>1031</v>
      </c>
      <c r="B32" s="1">
        <v>45872</v>
      </c>
      <c r="C32" t="s">
        <v>17</v>
      </c>
      <c r="D32" t="s">
        <v>34</v>
      </c>
      <c r="E32" t="s">
        <v>35</v>
      </c>
      <c r="F32">
        <v>773.88</v>
      </c>
      <c r="G32">
        <v>2</v>
      </c>
      <c r="H32" s="2">
        <f>Table3[[#This Row],[UnitPrice]]*Table3[Quantity]</f>
        <v>1547.76</v>
      </c>
      <c r="I32" t="s">
        <v>51</v>
      </c>
      <c r="J32">
        <v>63</v>
      </c>
      <c r="K32" t="s">
        <v>21</v>
      </c>
      <c r="L32" t="s">
        <v>22</v>
      </c>
    </row>
    <row r="33" spans="1:12" x14ac:dyDescent="0.25">
      <c r="A33">
        <v>1032</v>
      </c>
      <c r="B33" s="1">
        <v>45725</v>
      </c>
      <c r="C33" t="s">
        <v>17</v>
      </c>
      <c r="D33" t="s">
        <v>34</v>
      </c>
      <c r="E33" t="s">
        <v>35</v>
      </c>
      <c r="F33">
        <v>526.47</v>
      </c>
      <c r="G33">
        <v>1</v>
      </c>
      <c r="H33" s="2">
        <f>Table3[[#This Row],[UnitPrice]]*Table3[Quantity]</f>
        <v>526.47</v>
      </c>
      <c r="I33" t="s">
        <v>23</v>
      </c>
      <c r="J33">
        <v>47</v>
      </c>
      <c r="K33" t="s">
        <v>15</v>
      </c>
      <c r="L33" t="s">
        <v>28</v>
      </c>
    </row>
    <row r="34" spans="1:12" x14ac:dyDescent="0.25">
      <c r="A34">
        <v>1033</v>
      </c>
      <c r="B34" s="1">
        <v>45709</v>
      </c>
      <c r="C34" t="s">
        <v>11</v>
      </c>
      <c r="D34" t="s">
        <v>18</v>
      </c>
      <c r="E34" t="s">
        <v>19</v>
      </c>
      <c r="F34">
        <v>1132.46</v>
      </c>
      <c r="G34">
        <v>3</v>
      </c>
      <c r="H34" s="2">
        <f>Table3[[#This Row],[UnitPrice]]*Table3[Quantity]</f>
        <v>3397.38</v>
      </c>
      <c r="I34" t="s">
        <v>52</v>
      </c>
      <c r="J34">
        <v>33</v>
      </c>
      <c r="K34" t="s">
        <v>21</v>
      </c>
      <c r="L34" t="s">
        <v>22</v>
      </c>
    </row>
    <row r="35" spans="1:12" x14ac:dyDescent="0.25">
      <c r="A35">
        <v>1034</v>
      </c>
      <c r="B35" s="1">
        <v>45936</v>
      </c>
      <c r="C35" t="s">
        <v>17</v>
      </c>
      <c r="D35" t="s">
        <v>18</v>
      </c>
      <c r="E35" t="s">
        <v>19</v>
      </c>
      <c r="F35">
        <v>1667.86</v>
      </c>
      <c r="G35">
        <v>5</v>
      </c>
      <c r="H35" s="2">
        <f>Table3[[#This Row],[UnitPrice]]*Table3[Quantity]</f>
        <v>8339.2999999999993</v>
      </c>
      <c r="I35" t="s">
        <v>53</v>
      </c>
      <c r="J35">
        <v>60</v>
      </c>
      <c r="K35" t="s">
        <v>21</v>
      </c>
      <c r="L35" t="s">
        <v>16</v>
      </c>
    </row>
    <row r="36" spans="1:12" x14ac:dyDescent="0.25">
      <c r="A36">
        <v>1035</v>
      </c>
      <c r="B36" s="1">
        <v>45793</v>
      </c>
      <c r="C36" t="s">
        <v>11</v>
      </c>
      <c r="D36" t="s">
        <v>24</v>
      </c>
      <c r="E36" t="s">
        <v>38</v>
      </c>
      <c r="F36">
        <v>59.79</v>
      </c>
      <c r="G36">
        <v>3</v>
      </c>
      <c r="H36" s="2">
        <f>Table3[[#This Row],[UnitPrice]]*Table3[Quantity]</f>
        <v>179.37</v>
      </c>
      <c r="I36" t="s">
        <v>49</v>
      </c>
      <c r="J36">
        <v>56</v>
      </c>
      <c r="K36" t="s">
        <v>21</v>
      </c>
      <c r="L36" t="s">
        <v>22</v>
      </c>
    </row>
    <row r="37" spans="1:12" x14ac:dyDescent="0.25">
      <c r="A37">
        <v>1036</v>
      </c>
      <c r="B37" s="1">
        <v>46009</v>
      </c>
      <c r="C37" t="s">
        <v>17</v>
      </c>
      <c r="D37" t="s">
        <v>24</v>
      </c>
      <c r="E37" t="s">
        <v>38</v>
      </c>
      <c r="F37">
        <v>53.97</v>
      </c>
      <c r="G37">
        <v>1</v>
      </c>
      <c r="H37" s="2">
        <f>Table3[[#This Row],[UnitPrice]]*Table3[Quantity]</f>
        <v>53.97</v>
      </c>
      <c r="I37" t="s">
        <v>29</v>
      </c>
      <c r="J37">
        <v>58</v>
      </c>
      <c r="K37" t="s">
        <v>21</v>
      </c>
      <c r="L37" t="s">
        <v>22</v>
      </c>
    </row>
    <row r="38" spans="1:12" x14ac:dyDescent="0.25">
      <c r="A38">
        <v>1037</v>
      </c>
      <c r="B38" s="1">
        <v>45659</v>
      </c>
      <c r="C38" t="s">
        <v>32</v>
      </c>
      <c r="D38" t="s">
        <v>24</v>
      </c>
      <c r="E38" t="s">
        <v>38</v>
      </c>
      <c r="F38">
        <v>98.18</v>
      </c>
      <c r="G38">
        <v>2</v>
      </c>
      <c r="H38" s="2">
        <f>Table3[[#This Row],[UnitPrice]]*Table3[Quantity]</f>
        <v>196.36</v>
      </c>
      <c r="I38" t="s">
        <v>14</v>
      </c>
      <c r="J38">
        <v>46</v>
      </c>
      <c r="K38" t="s">
        <v>15</v>
      </c>
      <c r="L38" t="s">
        <v>22</v>
      </c>
    </row>
    <row r="39" spans="1:12" x14ac:dyDescent="0.25">
      <c r="A39">
        <v>1038</v>
      </c>
      <c r="B39" s="1">
        <v>45662</v>
      </c>
      <c r="C39" t="s">
        <v>11</v>
      </c>
      <c r="D39" t="s">
        <v>12</v>
      </c>
      <c r="E39" t="s">
        <v>30</v>
      </c>
      <c r="F39">
        <v>972.8</v>
      </c>
      <c r="G39">
        <v>3</v>
      </c>
      <c r="H39" s="2">
        <f>Table3[[#This Row],[UnitPrice]]*Table3[Quantity]</f>
        <v>2918.3999999999996</v>
      </c>
      <c r="I39" t="s">
        <v>54</v>
      </c>
      <c r="J39">
        <v>53</v>
      </c>
      <c r="K39" t="s">
        <v>21</v>
      </c>
      <c r="L39" t="s">
        <v>22</v>
      </c>
    </row>
    <row r="40" spans="1:12" x14ac:dyDescent="0.25">
      <c r="A40">
        <v>1039</v>
      </c>
      <c r="B40" s="1">
        <v>45815</v>
      </c>
      <c r="C40" t="s">
        <v>32</v>
      </c>
      <c r="D40" t="s">
        <v>24</v>
      </c>
      <c r="E40" t="s">
        <v>43</v>
      </c>
      <c r="F40">
        <v>90.9</v>
      </c>
      <c r="G40">
        <v>2</v>
      </c>
      <c r="H40" s="2">
        <f>Table3[[#This Row],[UnitPrice]]*Table3[Quantity]</f>
        <v>181.8</v>
      </c>
      <c r="I40" t="s">
        <v>55</v>
      </c>
      <c r="J40">
        <v>33</v>
      </c>
      <c r="K40" t="s">
        <v>15</v>
      </c>
      <c r="L40" t="s">
        <v>22</v>
      </c>
    </row>
    <row r="41" spans="1:12" x14ac:dyDescent="0.25">
      <c r="A41">
        <v>1040</v>
      </c>
      <c r="B41" s="1">
        <v>45944</v>
      </c>
      <c r="C41" t="s">
        <v>32</v>
      </c>
      <c r="D41" t="s">
        <v>24</v>
      </c>
      <c r="E41" t="s">
        <v>38</v>
      </c>
      <c r="F41">
        <v>23.91</v>
      </c>
      <c r="G41">
        <v>2</v>
      </c>
      <c r="H41" s="2">
        <f>Table3[[#This Row],[UnitPrice]]*Table3[Quantity]</f>
        <v>47.82</v>
      </c>
      <c r="I41" t="s">
        <v>36</v>
      </c>
      <c r="J41">
        <v>29</v>
      </c>
      <c r="K41" t="s">
        <v>27</v>
      </c>
      <c r="L41" t="s">
        <v>22</v>
      </c>
    </row>
    <row r="42" spans="1:12" x14ac:dyDescent="0.25">
      <c r="A42">
        <v>1041</v>
      </c>
      <c r="B42" s="1">
        <v>45828</v>
      </c>
      <c r="C42" t="s">
        <v>32</v>
      </c>
      <c r="D42" t="s">
        <v>24</v>
      </c>
      <c r="E42" t="s">
        <v>38</v>
      </c>
      <c r="F42">
        <v>82.97</v>
      </c>
      <c r="G42">
        <v>3</v>
      </c>
      <c r="H42" s="2">
        <f>Table3[[#This Row],[UnitPrice]]*Table3[Quantity]</f>
        <v>248.91</v>
      </c>
      <c r="I42" t="s">
        <v>36</v>
      </c>
      <c r="J42">
        <v>62</v>
      </c>
      <c r="K42" t="s">
        <v>21</v>
      </c>
      <c r="L42" t="s">
        <v>16</v>
      </c>
    </row>
    <row r="43" spans="1:12" x14ac:dyDescent="0.25">
      <c r="A43">
        <v>1042</v>
      </c>
      <c r="B43" s="1">
        <v>45898</v>
      </c>
      <c r="C43" t="s">
        <v>11</v>
      </c>
      <c r="D43" t="s">
        <v>12</v>
      </c>
      <c r="E43" t="s">
        <v>13</v>
      </c>
      <c r="F43">
        <v>874.83</v>
      </c>
      <c r="G43">
        <v>2</v>
      </c>
      <c r="H43" s="2">
        <f>Table3[[#This Row],[UnitPrice]]*Table3[Quantity]</f>
        <v>1749.66</v>
      </c>
      <c r="I43" t="s">
        <v>37</v>
      </c>
      <c r="J43">
        <v>19</v>
      </c>
      <c r="K43" t="s">
        <v>15</v>
      </c>
      <c r="L43" t="s">
        <v>22</v>
      </c>
    </row>
    <row r="44" spans="1:12" x14ac:dyDescent="0.25">
      <c r="A44">
        <v>1043</v>
      </c>
      <c r="B44" s="1">
        <v>45800</v>
      </c>
      <c r="C44" t="s">
        <v>11</v>
      </c>
      <c r="D44" t="s">
        <v>24</v>
      </c>
      <c r="E44" t="s">
        <v>25</v>
      </c>
      <c r="F44">
        <v>41.6</v>
      </c>
      <c r="G44">
        <v>5</v>
      </c>
      <c r="H44" s="2">
        <f>Table3[[#This Row],[UnitPrice]]*Table3[Quantity]</f>
        <v>208</v>
      </c>
      <c r="I44" t="s">
        <v>56</v>
      </c>
      <c r="J44">
        <v>61</v>
      </c>
      <c r="K44" t="s">
        <v>27</v>
      </c>
      <c r="L44" t="s">
        <v>28</v>
      </c>
    </row>
    <row r="45" spans="1:12" x14ac:dyDescent="0.25">
      <c r="A45">
        <v>1044</v>
      </c>
      <c r="B45" s="1">
        <v>45672</v>
      </c>
      <c r="C45" t="s">
        <v>11</v>
      </c>
      <c r="D45" t="s">
        <v>24</v>
      </c>
      <c r="E45" t="s">
        <v>25</v>
      </c>
      <c r="F45">
        <v>26.07</v>
      </c>
      <c r="G45">
        <v>3</v>
      </c>
      <c r="H45" s="2">
        <f>Table3[[#This Row],[UnitPrice]]*Table3[Quantity]</f>
        <v>78.210000000000008</v>
      </c>
      <c r="I45" t="s">
        <v>57</v>
      </c>
      <c r="J45">
        <v>24</v>
      </c>
      <c r="K45" t="s">
        <v>15</v>
      </c>
      <c r="L45" t="s">
        <v>22</v>
      </c>
    </row>
    <row r="46" spans="1:12" x14ac:dyDescent="0.25">
      <c r="A46">
        <v>1045</v>
      </c>
      <c r="B46" s="1">
        <v>45818</v>
      </c>
      <c r="C46" t="s">
        <v>32</v>
      </c>
      <c r="D46" t="s">
        <v>34</v>
      </c>
      <c r="E46" t="s">
        <v>35</v>
      </c>
      <c r="F46">
        <v>554.08000000000004</v>
      </c>
      <c r="G46">
        <v>5</v>
      </c>
      <c r="H46" s="2">
        <f>Table3[[#This Row],[UnitPrice]]*Table3[Quantity]</f>
        <v>2770.4</v>
      </c>
      <c r="I46" t="s">
        <v>58</v>
      </c>
      <c r="J46">
        <v>34</v>
      </c>
      <c r="K46" t="s">
        <v>21</v>
      </c>
      <c r="L46" t="s">
        <v>22</v>
      </c>
    </row>
    <row r="47" spans="1:12" x14ac:dyDescent="0.25">
      <c r="A47">
        <v>1046</v>
      </c>
      <c r="B47" s="1">
        <v>45924</v>
      </c>
      <c r="C47" t="s">
        <v>17</v>
      </c>
      <c r="D47" t="s">
        <v>34</v>
      </c>
      <c r="E47" t="s">
        <v>35</v>
      </c>
      <c r="F47">
        <v>545.69000000000005</v>
      </c>
      <c r="G47">
        <v>1</v>
      </c>
      <c r="H47" s="2">
        <f>Table3[[#This Row],[UnitPrice]]*Table3[Quantity]</f>
        <v>545.69000000000005</v>
      </c>
      <c r="I47" t="s">
        <v>51</v>
      </c>
      <c r="J47">
        <v>39</v>
      </c>
      <c r="K47" t="s">
        <v>15</v>
      </c>
      <c r="L47" t="s">
        <v>28</v>
      </c>
    </row>
    <row r="48" spans="1:12" x14ac:dyDescent="0.25">
      <c r="A48">
        <v>1047</v>
      </c>
      <c r="B48" s="1">
        <v>45721</v>
      </c>
      <c r="C48" t="s">
        <v>17</v>
      </c>
      <c r="D48" t="s">
        <v>24</v>
      </c>
      <c r="E48" t="s">
        <v>38</v>
      </c>
      <c r="F48">
        <v>37.840000000000003</v>
      </c>
      <c r="G48">
        <v>4</v>
      </c>
      <c r="H48" s="2">
        <f>Table3[[#This Row],[UnitPrice]]*Table3[Quantity]</f>
        <v>151.36000000000001</v>
      </c>
      <c r="I48" t="s">
        <v>59</v>
      </c>
      <c r="J48">
        <v>43</v>
      </c>
      <c r="K48" t="s">
        <v>15</v>
      </c>
      <c r="L48" t="s">
        <v>28</v>
      </c>
    </row>
    <row r="49" spans="1:12" x14ac:dyDescent="0.25">
      <c r="A49">
        <v>1048</v>
      </c>
      <c r="B49" s="1">
        <v>45756</v>
      </c>
      <c r="C49" t="s">
        <v>32</v>
      </c>
      <c r="D49" t="s">
        <v>34</v>
      </c>
      <c r="E49" t="s">
        <v>35</v>
      </c>
      <c r="F49">
        <v>670.93</v>
      </c>
      <c r="G49">
        <v>2</v>
      </c>
      <c r="H49" s="2">
        <f>Table3[[#This Row],[UnitPrice]]*Table3[Quantity]</f>
        <v>1341.86</v>
      </c>
      <c r="I49" t="s">
        <v>60</v>
      </c>
      <c r="J49">
        <v>54</v>
      </c>
      <c r="K49" t="s">
        <v>21</v>
      </c>
      <c r="L49" t="s">
        <v>28</v>
      </c>
    </row>
    <row r="50" spans="1:12" x14ac:dyDescent="0.25">
      <c r="A50">
        <v>1049</v>
      </c>
      <c r="B50" s="1">
        <v>45658</v>
      </c>
      <c r="C50" t="s">
        <v>32</v>
      </c>
      <c r="D50" t="s">
        <v>12</v>
      </c>
      <c r="E50" t="s">
        <v>13</v>
      </c>
      <c r="F50">
        <v>1092.8800000000001</v>
      </c>
      <c r="G50">
        <v>5</v>
      </c>
      <c r="H50" s="2">
        <f>Table3[[#This Row],[UnitPrice]]*Table3[Quantity]</f>
        <v>5464.4000000000005</v>
      </c>
      <c r="I50" t="s">
        <v>61</v>
      </c>
      <c r="J50">
        <v>38</v>
      </c>
      <c r="K50" t="s">
        <v>21</v>
      </c>
      <c r="L50" t="s">
        <v>22</v>
      </c>
    </row>
    <row r="51" spans="1:12" x14ac:dyDescent="0.25">
      <c r="A51">
        <v>1050</v>
      </c>
      <c r="B51" s="1">
        <v>45767</v>
      </c>
      <c r="C51" t="s">
        <v>17</v>
      </c>
      <c r="D51" t="s">
        <v>18</v>
      </c>
      <c r="E51" t="s">
        <v>19</v>
      </c>
      <c r="F51">
        <v>1658.85</v>
      </c>
      <c r="G51">
        <v>3</v>
      </c>
      <c r="H51" s="2">
        <f>Table3[[#This Row],[UnitPrice]]*Table3[Quantity]</f>
        <v>4976.5499999999993</v>
      </c>
      <c r="I51" t="s">
        <v>20</v>
      </c>
      <c r="J51">
        <v>60</v>
      </c>
      <c r="K51" t="s">
        <v>15</v>
      </c>
      <c r="L51" t="s">
        <v>22</v>
      </c>
    </row>
    <row r="52" spans="1:12" x14ac:dyDescent="0.25">
      <c r="A52">
        <v>1051</v>
      </c>
      <c r="B52" s="1">
        <v>45778</v>
      </c>
      <c r="C52" t="s">
        <v>17</v>
      </c>
      <c r="D52" t="s">
        <v>18</v>
      </c>
      <c r="E52" t="s">
        <v>19</v>
      </c>
      <c r="F52">
        <v>1147.3499999999999</v>
      </c>
      <c r="G52">
        <v>1</v>
      </c>
      <c r="H52" s="2">
        <f>Table3[[#This Row],[UnitPrice]]*Table3[Quantity]</f>
        <v>1147.3499999999999</v>
      </c>
      <c r="I52" t="s">
        <v>42</v>
      </c>
      <c r="J52">
        <v>48</v>
      </c>
      <c r="K52" t="s">
        <v>15</v>
      </c>
      <c r="L52" t="s">
        <v>28</v>
      </c>
    </row>
    <row r="53" spans="1:12" x14ac:dyDescent="0.25">
      <c r="A53">
        <v>1052</v>
      </c>
      <c r="B53" s="1">
        <v>45891</v>
      </c>
      <c r="C53" t="s">
        <v>32</v>
      </c>
      <c r="D53" t="s">
        <v>24</v>
      </c>
      <c r="E53" t="s">
        <v>38</v>
      </c>
      <c r="F53">
        <v>27.5</v>
      </c>
      <c r="G53">
        <v>4</v>
      </c>
      <c r="H53" s="2">
        <f>Table3[[#This Row],[UnitPrice]]*Table3[Quantity]</f>
        <v>110</v>
      </c>
      <c r="I53" t="s">
        <v>62</v>
      </c>
      <c r="J53">
        <v>43</v>
      </c>
      <c r="K53" t="s">
        <v>21</v>
      </c>
      <c r="L53" t="s">
        <v>28</v>
      </c>
    </row>
    <row r="54" spans="1:12" x14ac:dyDescent="0.25">
      <c r="A54">
        <v>1053</v>
      </c>
      <c r="B54" s="1">
        <v>45660</v>
      </c>
      <c r="C54" t="s">
        <v>11</v>
      </c>
      <c r="D54" t="s">
        <v>24</v>
      </c>
      <c r="E54" t="s">
        <v>43</v>
      </c>
      <c r="F54">
        <v>25.83</v>
      </c>
      <c r="G54">
        <v>5</v>
      </c>
      <c r="H54" s="2">
        <f>Table3[[#This Row],[UnitPrice]]*Table3[Quantity]</f>
        <v>129.14999999999998</v>
      </c>
      <c r="I54" t="s">
        <v>41</v>
      </c>
      <c r="J54">
        <v>21</v>
      </c>
      <c r="K54" t="s">
        <v>15</v>
      </c>
      <c r="L54" t="s">
        <v>16</v>
      </c>
    </row>
    <row r="55" spans="1:12" x14ac:dyDescent="0.25">
      <c r="A55">
        <v>1054</v>
      </c>
      <c r="B55" s="1">
        <v>45720</v>
      </c>
      <c r="C55" t="s">
        <v>32</v>
      </c>
      <c r="D55" t="s">
        <v>12</v>
      </c>
      <c r="E55" t="s">
        <v>13</v>
      </c>
      <c r="F55">
        <v>1033.79</v>
      </c>
      <c r="G55">
        <v>5</v>
      </c>
      <c r="H55" s="2">
        <f>Table3[[#This Row],[UnitPrice]]*Table3[Quantity]</f>
        <v>5168.95</v>
      </c>
      <c r="I55" t="s">
        <v>63</v>
      </c>
      <c r="J55">
        <v>38</v>
      </c>
      <c r="K55" t="s">
        <v>27</v>
      </c>
      <c r="L55" t="s">
        <v>16</v>
      </c>
    </row>
    <row r="56" spans="1:12" x14ac:dyDescent="0.25">
      <c r="A56">
        <v>1055</v>
      </c>
      <c r="B56" s="1">
        <v>45971</v>
      </c>
      <c r="C56" t="s">
        <v>17</v>
      </c>
      <c r="D56" t="s">
        <v>24</v>
      </c>
      <c r="E56" t="s">
        <v>25</v>
      </c>
      <c r="F56">
        <v>84.75</v>
      </c>
      <c r="G56">
        <v>5</v>
      </c>
      <c r="H56" s="2">
        <f>Table3[[#This Row],[UnitPrice]]*Table3[Quantity]</f>
        <v>423.75</v>
      </c>
      <c r="I56" t="s">
        <v>47</v>
      </c>
      <c r="J56">
        <v>28</v>
      </c>
      <c r="K56" t="s">
        <v>27</v>
      </c>
      <c r="L56" t="s">
        <v>22</v>
      </c>
    </row>
    <row r="57" spans="1:12" x14ac:dyDescent="0.25">
      <c r="A57">
        <v>1056</v>
      </c>
      <c r="B57" s="1">
        <v>45790</v>
      </c>
      <c r="C57" t="s">
        <v>11</v>
      </c>
      <c r="D57" t="s">
        <v>24</v>
      </c>
      <c r="E57" t="s">
        <v>25</v>
      </c>
      <c r="F57">
        <v>78.92</v>
      </c>
      <c r="G57">
        <v>5</v>
      </c>
      <c r="H57" s="2">
        <f>Table3[[#This Row],[UnitPrice]]*Table3[Quantity]</f>
        <v>394.6</v>
      </c>
      <c r="I57" t="s">
        <v>62</v>
      </c>
      <c r="J57">
        <v>58</v>
      </c>
      <c r="K57" t="s">
        <v>21</v>
      </c>
      <c r="L57" t="s">
        <v>22</v>
      </c>
    </row>
    <row r="58" spans="1:12" x14ac:dyDescent="0.25">
      <c r="A58">
        <v>1057</v>
      </c>
      <c r="B58" s="1">
        <v>45804</v>
      </c>
      <c r="C58" t="s">
        <v>11</v>
      </c>
      <c r="D58" t="s">
        <v>12</v>
      </c>
      <c r="E58" t="s">
        <v>13</v>
      </c>
      <c r="F58">
        <v>1146.51</v>
      </c>
      <c r="G58">
        <v>1</v>
      </c>
      <c r="H58" s="2">
        <f>Table3[[#This Row],[UnitPrice]]*Table3[Quantity]</f>
        <v>1146.51</v>
      </c>
      <c r="I58" t="s">
        <v>64</v>
      </c>
      <c r="J58">
        <v>27</v>
      </c>
      <c r="K58" t="s">
        <v>21</v>
      </c>
      <c r="L58" t="s">
        <v>28</v>
      </c>
    </row>
    <row r="59" spans="1:12" x14ac:dyDescent="0.25">
      <c r="A59">
        <v>1058</v>
      </c>
      <c r="B59" s="1">
        <v>46019</v>
      </c>
      <c r="C59" t="s">
        <v>11</v>
      </c>
      <c r="D59" t="s">
        <v>12</v>
      </c>
      <c r="E59" t="s">
        <v>13</v>
      </c>
      <c r="F59">
        <v>865.44</v>
      </c>
      <c r="G59">
        <v>4</v>
      </c>
      <c r="H59" s="2">
        <f>Table3[[#This Row],[UnitPrice]]*Table3[Quantity]</f>
        <v>3461.76</v>
      </c>
      <c r="I59" t="s">
        <v>65</v>
      </c>
      <c r="J59">
        <v>21</v>
      </c>
      <c r="K59" t="s">
        <v>21</v>
      </c>
      <c r="L59" t="s">
        <v>22</v>
      </c>
    </row>
    <row r="60" spans="1:12" x14ac:dyDescent="0.25">
      <c r="A60">
        <v>1059</v>
      </c>
      <c r="B60" s="1">
        <v>45957</v>
      </c>
      <c r="C60" t="s">
        <v>17</v>
      </c>
      <c r="D60" t="s">
        <v>12</v>
      </c>
      <c r="E60" t="s">
        <v>13</v>
      </c>
      <c r="F60">
        <v>938.49</v>
      </c>
      <c r="G60">
        <v>3</v>
      </c>
      <c r="H60" s="2">
        <f>Table3[[#This Row],[UnitPrice]]*Table3[Quantity]</f>
        <v>2815.4700000000003</v>
      </c>
      <c r="I60" t="s">
        <v>53</v>
      </c>
      <c r="J60">
        <v>42</v>
      </c>
      <c r="K60" t="s">
        <v>27</v>
      </c>
      <c r="L60" t="s">
        <v>16</v>
      </c>
    </row>
    <row r="61" spans="1:12" x14ac:dyDescent="0.25">
      <c r="A61">
        <v>1060</v>
      </c>
      <c r="B61" s="1">
        <v>45872</v>
      </c>
      <c r="C61" t="s">
        <v>17</v>
      </c>
      <c r="D61" t="s">
        <v>24</v>
      </c>
      <c r="E61" t="s">
        <v>38</v>
      </c>
      <c r="F61">
        <v>81.99</v>
      </c>
      <c r="G61">
        <v>2</v>
      </c>
      <c r="H61" s="2">
        <f>Table3[[#This Row],[UnitPrice]]*Table3[Quantity]</f>
        <v>163.98</v>
      </c>
      <c r="I61" t="s">
        <v>62</v>
      </c>
      <c r="J61">
        <v>32</v>
      </c>
      <c r="K61" t="s">
        <v>21</v>
      </c>
      <c r="L61" t="s">
        <v>22</v>
      </c>
    </row>
    <row r="62" spans="1:12" x14ac:dyDescent="0.25">
      <c r="A62">
        <v>1061</v>
      </c>
      <c r="B62" s="1">
        <v>45857</v>
      </c>
      <c r="C62" t="s">
        <v>32</v>
      </c>
      <c r="D62" t="s">
        <v>34</v>
      </c>
      <c r="E62" t="s">
        <v>35</v>
      </c>
      <c r="F62">
        <v>689.67</v>
      </c>
      <c r="G62">
        <v>4</v>
      </c>
      <c r="H62" s="2">
        <f>Table3[[#This Row],[UnitPrice]]*Table3[Quantity]</f>
        <v>2758.68</v>
      </c>
      <c r="I62" t="s">
        <v>64</v>
      </c>
      <c r="J62">
        <v>57</v>
      </c>
      <c r="K62" t="s">
        <v>15</v>
      </c>
      <c r="L62" t="s">
        <v>16</v>
      </c>
    </row>
    <row r="63" spans="1:12" x14ac:dyDescent="0.25">
      <c r="A63">
        <v>1062</v>
      </c>
      <c r="B63" s="1">
        <v>45961</v>
      </c>
      <c r="C63" t="s">
        <v>17</v>
      </c>
      <c r="D63" t="s">
        <v>34</v>
      </c>
      <c r="E63" t="s">
        <v>35</v>
      </c>
      <c r="F63">
        <v>657.1</v>
      </c>
      <c r="G63">
        <v>2</v>
      </c>
      <c r="H63" s="2">
        <f>Table3[[#This Row],[UnitPrice]]*Table3[Quantity]</f>
        <v>1314.2</v>
      </c>
      <c r="I63" t="s">
        <v>41</v>
      </c>
      <c r="J63">
        <v>29</v>
      </c>
      <c r="K63" t="s">
        <v>21</v>
      </c>
      <c r="L63" t="s">
        <v>22</v>
      </c>
    </row>
    <row r="64" spans="1:12" x14ac:dyDescent="0.25">
      <c r="A64">
        <v>1063</v>
      </c>
      <c r="B64" s="1">
        <v>45766</v>
      </c>
      <c r="C64" t="s">
        <v>32</v>
      </c>
      <c r="D64" t="s">
        <v>18</v>
      </c>
      <c r="E64" t="s">
        <v>19</v>
      </c>
      <c r="F64">
        <v>1278.26</v>
      </c>
      <c r="G64">
        <v>4</v>
      </c>
      <c r="H64" s="2">
        <f>Table3[[#This Row],[UnitPrice]]*Table3[Quantity]</f>
        <v>5113.04</v>
      </c>
      <c r="I64" t="s">
        <v>66</v>
      </c>
      <c r="J64">
        <v>23</v>
      </c>
      <c r="K64" t="s">
        <v>21</v>
      </c>
      <c r="L64" t="s">
        <v>28</v>
      </c>
    </row>
    <row r="65" spans="1:12" x14ac:dyDescent="0.25">
      <c r="A65">
        <v>1064</v>
      </c>
      <c r="B65" s="1">
        <v>45684</v>
      </c>
      <c r="C65" t="s">
        <v>32</v>
      </c>
      <c r="D65" t="s">
        <v>12</v>
      </c>
      <c r="E65" t="s">
        <v>30</v>
      </c>
      <c r="F65">
        <v>1090.6199999999999</v>
      </c>
      <c r="G65">
        <v>1</v>
      </c>
      <c r="H65" s="2">
        <f>Table3[[#This Row],[UnitPrice]]*Table3[Quantity]</f>
        <v>1090.6199999999999</v>
      </c>
      <c r="I65" t="s">
        <v>40</v>
      </c>
      <c r="J65">
        <v>19</v>
      </c>
      <c r="K65" t="s">
        <v>27</v>
      </c>
      <c r="L65" t="s">
        <v>22</v>
      </c>
    </row>
    <row r="66" spans="1:12" x14ac:dyDescent="0.25">
      <c r="A66">
        <v>1065</v>
      </c>
      <c r="B66" s="1">
        <v>45668</v>
      </c>
      <c r="C66" t="s">
        <v>17</v>
      </c>
      <c r="D66" t="s">
        <v>12</v>
      </c>
      <c r="E66" t="s">
        <v>30</v>
      </c>
      <c r="F66">
        <v>936.78</v>
      </c>
      <c r="G66">
        <v>1</v>
      </c>
      <c r="H66" s="2">
        <f>Table3[[#This Row],[UnitPrice]]*Table3[Quantity]</f>
        <v>936.78</v>
      </c>
      <c r="I66" t="s">
        <v>67</v>
      </c>
      <c r="J66">
        <v>31</v>
      </c>
      <c r="K66" t="s">
        <v>21</v>
      </c>
      <c r="L66" t="s">
        <v>22</v>
      </c>
    </row>
    <row r="67" spans="1:12" x14ac:dyDescent="0.25">
      <c r="A67">
        <v>1066</v>
      </c>
      <c r="B67" s="1">
        <v>45846</v>
      </c>
      <c r="C67" t="s">
        <v>11</v>
      </c>
      <c r="D67" t="s">
        <v>34</v>
      </c>
      <c r="E67" t="s">
        <v>35</v>
      </c>
      <c r="F67">
        <v>711.12</v>
      </c>
      <c r="G67">
        <v>2</v>
      </c>
      <c r="H67" s="2">
        <f>Table3[[#This Row],[UnitPrice]]*Table3[Quantity]</f>
        <v>1422.24</v>
      </c>
      <c r="I67" t="s">
        <v>53</v>
      </c>
      <c r="J67">
        <v>24</v>
      </c>
      <c r="K67" t="s">
        <v>15</v>
      </c>
      <c r="L67" t="s">
        <v>16</v>
      </c>
    </row>
    <row r="68" spans="1:12" x14ac:dyDescent="0.25">
      <c r="A68">
        <v>1067</v>
      </c>
      <c r="B68" s="1">
        <v>45952</v>
      </c>
      <c r="C68" t="s">
        <v>17</v>
      </c>
      <c r="D68" t="s">
        <v>24</v>
      </c>
      <c r="E68" t="s">
        <v>25</v>
      </c>
      <c r="F68">
        <v>45.7</v>
      </c>
      <c r="G68">
        <v>2</v>
      </c>
      <c r="H68" s="2">
        <f>Table3[[#This Row],[UnitPrice]]*Table3[Quantity]</f>
        <v>91.4</v>
      </c>
      <c r="I68" t="s">
        <v>52</v>
      </c>
      <c r="J68">
        <v>55</v>
      </c>
      <c r="K68" t="s">
        <v>15</v>
      </c>
      <c r="L68" t="s">
        <v>28</v>
      </c>
    </row>
    <row r="69" spans="1:12" x14ac:dyDescent="0.25">
      <c r="A69">
        <v>1068</v>
      </c>
      <c r="B69" s="1">
        <v>45710</v>
      </c>
      <c r="C69" t="s">
        <v>17</v>
      </c>
      <c r="D69" t="s">
        <v>24</v>
      </c>
      <c r="E69" t="s">
        <v>38</v>
      </c>
      <c r="F69">
        <v>64.040000000000006</v>
      </c>
      <c r="G69">
        <v>1</v>
      </c>
      <c r="H69" s="2">
        <f>Table3[[#This Row],[UnitPrice]]*Table3[Quantity]</f>
        <v>64.040000000000006</v>
      </c>
      <c r="I69" t="s">
        <v>67</v>
      </c>
      <c r="J69">
        <v>20</v>
      </c>
      <c r="K69" t="s">
        <v>21</v>
      </c>
      <c r="L69" t="s">
        <v>22</v>
      </c>
    </row>
    <row r="70" spans="1:12" x14ac:dyDescent="0.25">
      <c r="A70">
        <v>1069</v>
      </c>
      <c r="B70" s="1">
        <v>45847</v>
      </c>
      <c r="C70" t="s">
        <v>11</v>
      </c>
      <c r="D70" t="s">
        <v>18</v>
      </c>
      <c r="E70" t="s">
        <v>19</v>
      </c>
      <c r="F70">
        <v>1012.65</v>
      </c>
      <c r="G70">
        <v>4</v>
      </c>
      <c r="H70" s="2">
        <f>Table3[[#This Row],[UnitPrice]]*Table3[Quantity]</f>
        <v>4050.6</v>
      </c>
      <c r="I70" t="s">
        <v>62</v>
      </c>
      <c r="J70">
        <v>24</v>
      </c>
      <c r="K70" t="s">
        <v>21</v>
      </c>
      <c r="L70" t="s">
        <v>22</v>
      </c>
    </row>
    <row r="71" spans="1:12" x14ac:dyDescent="0.25">
      <c r="A71">
        <v>1070</v>
      </c>
      <c r="B71" s="1">
        <v>45893</v>
      </c>
      <c r="C71" t="s">
        <v>17</v>
      </c>
      <c r="D71" t="s">
        <v>12</v>
      </c>
      <c r="E71" t="s">
        <v>30</v>
      </c>
      <c r="F71">
        <v>1066.9000000000001</v>
      </c>
      <c r="G71">
        <v>3</v>
      </c>
      <c r="H71" s="2">
        <f>Table3[[#This Row],[UnitPrice]]*Table3[Quantity]</f>
        <v>3200.7000000000003</v>
      </c>
      <c r="I71" t="s">
        <v>60</v>
      </c>
      <c r="J71">
        <v>52</v>
      </c>
      <c r="K71" t="s">
        <v>27</v>
      </c>
      <c r="L71" t="s">
        <v>22</v>
      </c>
    </row>
    <row r="72" spans="1:12" x14ac:dyDescent="0.25">
      <c r="A72">
        <v>1071</v>
      </c>
      <c r="B72" s="1">
        <v>45961</v>
      </c>
      <c r="C72" t="s">
        <v>32</v>
      </c>
      <c r="D72" t="s">
        <v>18</v>
      </c>
      <c r="E72" t="s">
        <v>19</v>
      </c>
      <c r="F72">
        <v>1830.73</v>
      </c>
      <c r="G72">
        <v>1</v>
      </c>
      <c r="H72" s="2">
        <f>Table3[[#This Row],[UnitPrice]]*Table3[Quantity]</f>
        <v>1830.73</v>
      </c>
      <c r="I72" t="s">
        <v>68</v>
      </c>
      <c r="J72">
        <v>46</v>
      </c>
      <c r="K72" t="s">
        <v>21</v>
      </c>
      <c r="L72" t="s">
        <v>22</v>
      </c>
    </row>
    <row r="73" spans="1:12" x14ac:dyDescent="0.25">
      <c r="A73">
        <v>1072</v>
      </c>
      <c r="B73" s="1">
        <v>45970</v>
      </c>
      <c r="C73" t="s">
        <v>17</v>
      </c>
      <c r="D73" t="s">
        <v>18</v>
      </c>
      <c r="E73" t="s">
        <v>19</v>
      </c>
      <c r="F73">
        <v>1494.31</v>
      </c>
      <c r="G73">
        <v>3</v>
      </c>
      <c r="H73" s="2">
        <f>Table3[[#This Row],[UnitPrice]]*Table3[Quantity]</f>
        <v>4482.93</v>
      </c>
      <c r="I73" t="s">
        <v>69</v>
      </c>
      <c r="J73">
        <v>49</v>
      </c>
      <c r="K73" t="s">
        <v>21</v>
      </c>
      <c r="L73" t="s">
        <v>28</v>
      </c>
    </row>
    <row r="74" spans="1:12" x14ac:dyDescent="0.25">
      <c r="A74">
        <v>1073</v>
      </c>
      <c r="B74" s="1">
        <v>45832</v>
      </c>
      <c r="C74" t="s">
        <v>32</v>
      </c>
      <c r="D74" t="s">
        <v>24</v>
      </c>
      <c r="E74" t="s">
        <v>38</v>
      </c>
      <c r="F74">
        <v>89.21</v>
      </c>
      <c r="G74">
        <v>5</v>
      </c>
      <c r="H74" s="2">
        <f>Table3[[#This Row],[UnitPrice]]*Table3[Quantity]</f>
        <v>446.04999999999995</v>
      </c>
      <c r="I74" t="s">
        <v>23</v>
      </c>
      <c r="J74">
        <v>51</v>
      </c>
      <c r="K74" t="s">
        <v>27</v>
      </c>
      <c r="L74" t="s">
        <v>22</v>
      </c>
    </row>
    <row r="75" spans="1:12" x14ac:dyDescent="0.25">
      <c r="A75">
        <v>1074</v>
      </c>
      <c r="B75" s="1">
        <v>45866</v>
      </c>
      <c r="C75" t="s">
        <v>32</v>
      </c>
      <c r="D75" t="s">
        <v>34</v>
      </c>
      <c r="E75" t="s">
        <v>35</v>
      </c>
      <c r="F75">
        <v>676.24</v>
      </c>
      <c r="G75">
        <v>4</v>
      </c>
      <c r="H75" s="2">
        <f>Table3[[#This Row],[UnitPrice]]*Table3[Quantity]</f>
        <v>2704.96</v>
      </c>
      <c r="I75" t="s">
        <v>47</v>
      </c>
      <c r="J75">
        <v>19</v>
      </c>
      <c r="K75" t="s">
        <v>21</v>
      </c>
      <c r="L75" t="s">
        <v>22</v>
      </c>
    </row>
    <row r="76" spans="1:12" x14ac:dyDescent="0.25">
      <c r="A76">
        <v>1075</v>
      </c>
      <c r="B76" s="1">
        <v>46012</v>
      </c>
      <c r="C76" t="s">
        <v>11</v>
      </c>
      <c r="D76" t="s">
        <v>18</v>
      </c>
      <c r="E76" t="s">
        <v>19</v>
      </c>
      <c r="F76">
        <v>1473.26</v>
      </c>
      <c r="G76">
        <v>5</v>
      </c>
      <c r="H76" s="2">
        <f>Table3[[#This Row],[UnitPrice]]*Table3[Quantity]</f>
        <v>7366.3</v>
      </c>
      <c r="I76" t="s">
        <v>70</v>
      </c>
      <c r="J76">
        <v>45</v>
      </c>
      <c r="K76" t="s">
        <v>27</v>
      </c>
      <c r="L76" t="s">
        <v>28</v>
      </c>
    </row>
    <row r="77" spans="1:12" x14ac:dyDescent="0.25">
      <c r="A77">
        <v>1076</v>
      </c>
      <c r="B77" s="1">
        <v>45838</v>
      </c>
      <c r="C77" t="s">
        <v>17</v>
      </c>
      <c r="D77" t="s">
        <v>18</v>
      </c>
      <c r="E77" t="s">
        <v>19</v>
      </c>
      <c r="F77">
        <v>1251.4000000000001</v>
      </c>
      <c r="G77">
        <v>1</v>
      </c>
      <c r="H77" s="2">
        <f>Table3[[#This Row],[UnitPrice]]*Table3[Quantity]</f>
        <v>1251.4000000000001</v>
      </c>
      <c r="I77" t="s">
        <v>45</v>
      </c>
      <c r="J77">
        <v>30</v>
      </c>
      <c r="K77" t="s">
        <v>21</v>
      </c>
      <c r="L77" t="s">
        <v>28</v>
      </c>
    </row>
    <row r="78" spans="1:12" x14ac:dyDescent="0.25">
      <c r="A78">
        <v>1077</v>
      </c>
      <c r="B78" s="1">
        <v>46011</v>
      </c>
      <c r="C78" t="s">
        <v>11</v>
      </c>
      <c r="D78" t="s">
        <v>12</v>
      </c>
      <c r="E78" t="s">
        <v>13</v>
      </c>
      <c r="F78">
        <v>838.25</v>
      </c>
      <c r="G78">
        <v>5</v>
      </c>
      <c r="H78" s="2">
        <f>Table3[[#This Row],[UnitPrice]]*Table3[Quantity]</f>
        <v>4191.25</v>
      </c>
      <c r="I78" t="s">
        <v>40</v>
      </c>
      <c r="J78">
        <v>51</v>
      </c>
      <c r="K78" t="s">
        <v>15</v>
      </c>
      <c r="L78" t="s">
        <v>16</v>
      </c>
    </row>
    <row r="79" spans="1:12" x14ac:dyDescent="0.25">
      <c r="A79">
        <v>1078</v>
      </c>
      <c r="B79" s="1">
        <v>45757</v>
      </c>
      <c r="C79" t="s">
        <v>32</v>
      </c>
      <c r="D79" t="s">
        <v>12</v>
      </c>
      <c r="E79" t="s">
        <v>30</v>
      </c>
      <c r="F79">
        <v>851.13</v>
      </c>
      <c r="G79">
        <v>5</v>
      </c>
      <c r="H79" s="2">
        <f>Table3[[#This Row],[UnitPrice]]*Table3[Quantity]</f>
        <v>4255.6499999999996</v>
      </c>
      <c r="I79" t="s">
        <v>64</v>
      </c>
      <c r="J79">
        <v>35</v>
      </c>
      <c r="K79" t="s">
        <v>21</v>
      </c>
      <c r="L79" t="s">
        <v>22</v>
      </c>
    </row>
    <row r="80" spans="1:12" x14ac:dyDescent="0.25">
      <c r="A80">
        <v>1079</v>
      </c>
      <c r="B80" s="1">
        <v>45807</v>
      </c>
      <c r="C80" t="s">
        <v>17</v>
      </c>
      <c r="D80" t="s">
        <v>24</v>
      </c>
      <c r="E80" t="s">
        <v>38</v>
      </c>
      <c r="F80">
        <v>88.16</v>
      </c>
      <c r="G80">
        <v>4</v>
      </c>
      <c r="H80" s="2">
        <f>Table3[[#This Row],[UnitPrice]]*Table3[Quantity]</f>
        <v>352.64</v>
      </c>
      <c r="I80" t="s">
        <v>26</v>
      </c>
      <c r="J80">
        <v>18</v>
      </c>
      <c r="K80" t="s">
        <v>15</v>
      </c>
      <c r="L80" t="s">
        <v>22</v>
      </c>
    </row>
    <row r="81" spans="1:12" x14ac:dyDescent="0.25">
      <c r="A81">
        <v>1080</v>
      </c>
      <c r="B81" s="1">
        <v>45883</v>
      </c>
      <c r="C81" t="s">
        <v>32</v>
      </c>
      <c r="D81" t="s">
        <v>12</v>
      </c>
      <c r="E81" t="s">
        <v>30</v>
      </c>
      <c r="F81">
        <v>826.24</v>
      </c>
      <c r="G81">
        <v>4</v>
      </c>
      <c r="H81" s="2">
        <f>Table3[[#This Row],[UnitPrice]]*Table3[Quantity]</f>
        <v>3304.96</v>
      </c>
      <c r="I81" t="s">
        <v>44</v>
      </c>
      <c r="J81">
        <v>22</v>
      </c>
      <c r="K81" t="s">
        <v>21</v>
      </c>
      <c r="L81" t="s">
        <v>22</v>
      </c>
    </row>
    <row r="82" spans="1:12" x14ac:dyDescent="0.25">
      <c r="A82">
        <v>1081</v>
      </c>
      <c r="B82" s="1">
        <v>45980</v>
      </c>
      <c r="C82" t="s">
        <v>17</v>
      </c>
      <c r="D82" t="s">
        <v>12</v>
      </c>
      <c r="E82" t="s">
        <v>30</v>
      </c>
      <c r="F82">
        <v>1105.57</v>
      </c>
      <c r="G82">
        <v>3</v>
      </c>
      <c r="H82" s="2">
        <f>Table3[[#This Row],[UnitPrice]]*Table3[Quantity]</f>
        <v>3316.71</v>
      </c>
      <c r="I82" t="s">
        <v>29</v>
      </c>
      <c r="J82">
        <v>33</v>
      </c>
      <c r="K82" t="s">
        <v>21</v>
      </c>
      <c r="L82" t="s">
        <v>28</v>
      </c>
    </row>
    <row r="83" spans="1:12" x14ac:dyDescent="0.25">
      <c r="A83">
        <v>1082</v>
      </c>
      <c r="B83" s="1">
        <v>45968</v>
      </c>
      <c r="C83" t="s">
        <v>17</v>
      </c>
      <c r="D83" t="s">
        <v>24</v>
      </c>
      <c r="E83" t="s">
        <v>43</v>
      </c>
      <c r="F83">
        <v>79.81</v>
      </c>
      <c r="G83">
        <v>4</v>
      </c>
      <c r="H83" s="2">
        <f>Table3[[#This Row],[UnitPrice]]*Table3[Quantity]</f>
        <v>319.24</v>
      </c>
      <c r="I83" t="s">
        <v>47</v>
      </c>
      <c r="J83">
        <v>46</v>
      </c>
      <c r="K83" t="s">
        <v>21</v>
      </c>
      <c r="L83" t="s">
        <v>28</v>
      </c>
    </row>
    <row r="84" spans="1:12" x14ac:dyDescent="0.25">
      <c r="A84">
        <v>1083</v>
      </c>
      <c r="B84" s="1">
        <v>45877</v>
      </c>
      <c r="C84" t="s">
        <v>32</v>
      </c>
      <c r="D84" t="s">
        <v>34</v>
      </c>
      <c r="E84" t="s">
        <v>35</v>
      </c>
      <c r="F84">
        <v>643.85</v>
      </c>
      <c r="G84">
        <v>1</v>
      </c>
      <c r="H84" s="2">
        <f>Table3[[#This Row],[UnitPrice]]*Table3[Quantity]</f>
        <v>643.85</v>
      </c>
      <c r="I84" t="s">
        <v>40</v>
      </c>
      <c r="J84">
        <v>31</v>
      </c>
      <c r="K84" t="s">
        <v>15</v>
      </c>
      <c r="L84" t="s">
        <v>22</v>
      </c>
    </row>
    <row r="85" spans="1:12" x14ac:dyDescent="0.25">
      <c r="A85">
        <v>1084</v>
      </c>
      <c r="B85" s="1">
        <v>45699</v>
      </c>
      <c r="C85" t="s">
        <v>11</v>
      </c>
      <c r="D85" t="s">
        <v>12</v>
      </c>
      <c r="E85" t="s">
        <v>30</v>
      </c>
      <c r="F85">
        <v>778.27</v>
      </c>
      <c r="G85">
        <v>4</v>
      </c>
      <c r="H85" s="2">
        <f>Table3[[#This Row],[UnitPrice]]*Table3[Quantity]</f>
        <v>3113.08</v>
      </c>
      <c r="I85" t="s">
        <v>47</v>
      </c>
      <c r="J85">
        <v>62</v>
      </c>
      <c r="K85" t="s">
        <v>15</v>
      </c>
      <c r="L85" t="s">
        <v>22</v>
      </c>
    </row>
    <row r="86" spans="1:12" x14ac:dyDescent="0.25">
      <c r="A86">
        <v>1085</v>
      </c>
      <c r="B86" s="1">
        <v>45776</v>
      </c>
      <c r="C86" t="s">
        <v>32</v>
      </c>
      <c r="D86" t="s">
        <v>24</v>
      </c>
      <c r="E86" t="s">
        <v>38</v>
      </c>
      <c r="F86">
        <v>87.36</v>
      </c>
      <c r="G86">
        <v>1</v>
      </c>
      <c r="H86" s="2">
        <f>Table3[[#This Row],[UnitPrice]]*Table3[Quantity]</f>
        <v>87.36</v>
      </c>
      <c r="I86" t="s">
        <v>55</v>
      </c>
      <c r="J86">
        <v>32</v>
      </c>
      <c r="K86" t="s">
        <v>27</v>
      </c>
      <c r="L86" t="s">
        <v>28</v>
      </c>
    </row>
    <row r="87" spans="1:12" x14ac:dyDescent="0.25">
      <c r="A87">
        <v>1086</v>
      </c>
      <c r="B87" s="1">
        <v>45978</v>
      </c>
      <c r="C87" t="s">
        <v>17</v>
      </c>
      <c r="D87" t="s">
        <v>34</v>
      </c>
      <c r="E87" t="s">
        <v>35</v>
      </c>
      <c r="F87">
        <v>570.05999999999995</v>
      </c>
      <c r="G87">
        <v>5</v>
      </c>
      <c r="H87" s="2">
        <f>Table3[[#This Row],[UnitPrice]]*Table3[Quantity]</f>
        <v>2850.2999999999997</v>
      </c>
      <c r="I87" t="s">
        <v>37</v>
      </c>
      <c r="J87">
        <v>59</v>
      </c>
      <c r="K87" t="s">
        <v>21</v>
      </c>
      <c r="L87" t="s">
        <v>22</v>
      </c>
    </row>
    <row r="88" spans="1:12" x14ac:dyDescent="0.25">
      <c r="A88">
        <v>1087</v>
      </c>
      <c r="B88" s="1">
        <v>45730</v>
      </c>
      <c r="C88" t="s">
        <v>11</v>
      </c>
      <c r="D88" t="s">
        <v>12</v>
      </c>
      <c r="E88" t="s">
        <v>13</v>
      </c>
      <c r="F88">
        <v>997.52</v>
      </c>
      <c r="G88">
        <v>5</v>
      </c>
      <c r="H88" s="2">
        <f>Table3[[#This Row],[UnitPrice]]*Table3[Quantity]</f>
        <v>4987.6000000000004</v>
      </c>
      <c r="I88" t="s">
        <v>49</v>
      </c>
      <c r="J88">
        <v>46</v>
      </c>
      <c r="K88" t="s">
        <v>21</v>
      </c>
      <c r="L88" t="s">
        <v>28</v>
      </c>
    </row>
    <row r="89" spans="1:12" x14ac:dyDescent="0.25">
      <c r="A89">
        <v>1088</v>
      </c>
      <c r="B89" s="1">
        <v>46016</v>
      </c>
      <c r="C89" t="s">
        <v>32</v>
      </c>
      <c r="D89" t="s">
        <v>24</v>
      </c>
      <c r="E89" t="s">
        <v>38</v>
      </c>
      <c r="F89">
        <v>58.6</v>
      </c>
      <c r="G89">
        <v>4</v>
      </c>
      <c r="H89" s="2">
        <f>Table3[[#This Row],[UnitPrice]]*Table3[Quantity]</f>
        <v>234.4</v>
      </c>
      <c r="I89" t="s">
        <v>29</v>
      </c>
      <c r="J89">
        <v>56</v>
      </c>
      <c r="K89" t="s">
        <v>21</v>
      </c>
      <c r="L89" t="s">
        <v>22</v>
      </c>
    </row>
    <row r="90" spans="1:12" x14ac:dyDescent="0.25">
      <c r="A90">
        <v>1089</v>
      </c>
      <c r="B90" s="1">
        <v>45823</v>
      </c>
      <c r="C90" t="s">
        <v>17</v>
      </c>
      <c r="D90" t="s">
        <v>12</v>
      </c>
      <c r="E90" t="s">
        <v>30</v>
      </c>
      <c r="F90">
        <v>814.46</v>
      </c>
      <c r="G90">
        <v>5</v>
      </c>
      <c r="H90" s="2">
        <f>Table3[[#This Row],[UnitPrice]]*Table3[Quantity]</f>
        <v>4072.3</v>
      </c>
      <c r="I90" t="s">
        <v>54</v>
      </c>
      <c r="J90">
        <v>19</v>
      </c>
      <c r="K90" t="s">
        <v>27</v>
      </c>
      <c r="L90" t="s">
        <v>28</v>
      </c>
    </row>
    <row r="91" spans="1:12" x14ac:dyDescent="0.25">
      <c r="A91">
        <v>1090</v>
      </c>
      <c r="B91" s="1">
        <v>45795</v>
      </c>
      <c r="C91" t="s">
        <v>17</v>
      </c>
      <c r="D91" t="s">
        <v>12</v>
      </c>
      <c r="E91" t="s">
        <v>30</v>
      </c>
      <c r="F91">
        <v>935.25</v>
      </c>
      <c r="G91">
        <v>4</v>
      </c>
      <c r="H91" s="2">
        <f>Table3[[#This Row],[UnitPrice]]*Table3[Quantity]</f>
        <v>3741</v>
      </c>
      <c r="I91" t="s">
        <v>68</v>
      </c>
      <c r="J91">
        <v>29</v>
      </c>
      <c r="K91" t="s">
        <v>27</v>
      </c>
      <c r="L91" t="s">
        <v>22</v>
      </c>
    </row>
    <row r="92" spans="1:12" x14ac:dyDescent="0.25">
      <c r="A92">
        <v>1091</v>
      </c>
      <c r="B92" s="1">
        <v>45909</v>
      </c>
      <c r="C92" t="s">
        <v>11</v>
      </c>
      <c r="D92" t="s">
        <v>18</v>
      </c>
      <c r="E92" t="s">
        <v>19</v>
      </c>
      <c r="F92">
        <v>1333.31</v>
      </c>
      <c r="G92">
        <v>1</v>
      </c>
      <c r="H92" s="2">
        <f>Table3[[#This Row],[UnitPrice]]*Table3[Quantity]</f>
        <v>1333.31</v>
      </c>
      <c r="I92" t="s">
        <v>36</v>
      </c>
      <c r="J92">
        <v>39</v>
      </c>
      <c r="K92" t="s">
        <v>21</v>
      </c>
      <c r="L92" t="s">
        <v>22</v>
      </c>
    </row>
    <row r="93" spans="1:12" x14ac:dyDescent="0.25">
      <c r="A93">
        <v>1092</v>
      </c>
      <c r="B93" s="1">
        <v>45997</v>
      </c>
      <c r="C93" t="s">
        <v>32</v>
      </c>
      <c r="D93" t="s">
        <v>24</v>
      </c>
      <c r="E93" t="s">
        <v>38</v>
      </c>
      <c r="F93">
        <v>13.3</v>
      </c>
      <c r="G93">
        <v>1</v>
      </c>
      <c r="H93" s="2">
        <f>Table3[[#This Row],[UnitPrice]]*Table3[Quantity]</f>
        <v>13.3</v>
      </c>
      <c r="I93" t="s">
        <v>59</v>
      </c>
      <c r="J93">
        <v>34</v>
      </c>
      <c r="K93" t="s">
        <v>21</v>
      </c>
      <c r="L93" t="s">
        <v>16</v>
      </c>
    </row>
    <row r="94" spans="1:12" x14ac:dyDescent="0.25">
      <c r="A94">
        <v>1093</v>
      </c>
      <c r="B94" s="1">
        <v>45864</v>
      </c>
      <c r="C94" t="s">
        <v>17</v>
      </c>
      <c r="D94" t="s">
        <v>24</v>
      </c>
      <c r="E94" t="s">
        <v>43</v>
      </c>
      <c r="F94">
        <v>69.19</v>
      </c>
      <c r="G94">
        <v>5</v>
      </c>
      <c r="H94" s="2">
        <f>Table3[[#This Row],[UnitPrice]]*Table3[Quantity]</f>
        <v>345.95</v>
      </c>
      <c r="I94" t="s">
        <v>41</v>
      </c>
      <c r="J94">
        <v>44</v>
      </c>
      <c r="K94" t="s">
        <v>21</v>
      </c>
      <c r="L94" t="s">
        <v>28</v>
      </c>
    </row>
    <row r="95" spans="1:12" x14ac:dyDescent="0.25">
      <c r="A95">
        <v>1094</v>
      </c>
      <c r="B95" s="1">
        <v>45976</v>
      </c>
      <c r="C95" t="s">
        <v>32</v>
      </c>
      <c r="D95" t="s">
        <v>34</v>
      </c>
      <c r="E95" t="s">
        <v>35</v>
      </c>
      <c r="F95">
        <v>481.42</v>
      </c>
      <c r="G95">
        <v>5</v>
      </c>
      <c r="H95" s="2">
        <f>Table3[[#This Row],[UnitPrice]]*Table3[Quantity]</f>
        <v>2407.1</v>
      </c>
      <c r="I95" t="s">
        <v>64</v>
      </c>
      <c r="J95">
        <v>36</v>
      </c>
      <c r="K95" t="s">
        <v>21</v>
      </c>
      <c r="L95" t="s">
        <v>28</v>
      </c>
    </row>
    <row r="96" spans="1:12" x14ac:dyDescent="0.25">
      <c r="A96">
        <v>1095</v>
      </c>
      <c r="B96" s="1">
        <v>45720</v>
      </c>
      <c r="C96" t="s">
        <v>11</v>
      </c>
      <c r="D96" t="s">
        <v>24</v>
      </c>
      <c r="E96" t="s">
        <v>38</v>
      </c>
      <c r="F96">
        <v>81.94</v>
      </c>
      <c r="G96">
        <v>2</v>
      </c>
      <c r="H96" s="2">
        <f>Table3[[#This Row],[UnitPrice]]*Table3[Quantity]</f>
        <v>163.88</v>
      </c>
      <c r="I96" t="s">
        <v>53</v>
      </c>
      <c r="J96">
        <v>53</v>
      </c>
      <c r="K96" t="s">
        <v>21</v>
      </c>
      <c r="L96" t="s">
        <v>22</v>
      </c>
    </row>
    <row r="97" spans="1:12" x14ac:dyDescent="0.25">
      <c r="A97">
        <v>1096</v>
      </c>
      <c r="B97" s="1">
        <v>45773</v>
      </c>
      <c r="C97" t="s">
        <v>11</v>
      </c>
      <c r="D97" t="s">
        <v>18</v>
      </c>
      <c r="E97" t="s">
        <v>19</v>
      </c>
      <c r="F97">
        <v>1647.71</v>
      </c>
      <c r="G97">
        <v>2</v>
      </c>
      <c r="H97" s="2">
        <f>Table3[[#This Row],[UnitPrice]]*Table3[Quantity]</f>
        <v>3295.42</v>
      </c>
      <c r="I97" t="s">
        <v>62</v>
      </c>
      <c r="J97">
        <v>63</v>
      </c>
      <c r="K97" t="s">
        <v>21</v>
      </c>
      <c r="L97" t="s">
        <v>28</v>
      </c>
    </row>
    <row r="98" spans="1:12" x14ac:dyDescent="0.25">
      <c r="A98">
        <v>1097</v>
      </c>
      <c r="B98" s="1">
        <v>45870</v>
      </c>
      <c r="C98" t="s">
        <v>32</v>
      </c>
      <c r="D98" t="s">
        <v>24</v>
      </c>
      <c r="E98" t="s">
        <v>43</v>
      </c>
      <c r="F98">
        <v>51.11</v>
      </c>
      <c r="G98">
        <v>2</v>
      </c>
      <c r="H98" s="2">
        <f>Table3[[#This Row],[UnitPrice]]*Table3[Quantity]</f>
        <v>102.22</v>
      </c>
      <c r="I98" t="s">
        <v>71</v>
      </c>
      <c r="J98">
        <v>30</v>
      </c>
      <c r="K98" t="s">
        <v>27</v>
      </c>
      <c r="L98" t="s">
        <v>28</v>
      </c>
    </row>
    <row r="99" spans="1:12" x14ac:dyDescent="0.25">
      <c r="A99">
        <v>1098</v>
      </c>
      <c r="B99" s="1">
        <v>45727</v>
      </c>
      <c r="C99" t="s">
        <v>11</v>
      </c>
      <c r="D99" t="s">
        <v>12</v>
      </c>
      <c r="E99" t="s">
        <v>13</v>
      </c>
      <c r="F99">
        <v>869.94</v>
      </c>
      <c r="G99">
        <v>5</v>
      </c>
      <c r="H99" s="2">
        <f>Table3[[#This Row],[UnitPrice]]*Table3[Quantity]</f>
        <v>4349.7000000000007</v>
      </c>
      <c r="I99" t="s">
        <v>68</v>
      </c>
      <c r="J99">
        <v>18</v>
      </c>
      <c r="K99" t="s">
        <v>21</v>
      </c>
      <c r="L99" t="s">
        <v>22</v>
      </c>
    </row>
    <row r="100" spans="1:12" x14ac:dyDescent="0.25">
      <c r="A100">
        <v>1099</v>
      </c>
      <c r="B100" s="1">
        <v>45958</v>
      </c>
      <c r="C100" t="s">
        <v>17</v>
      </c>
      <c r="D100" t="s">
        <v>24</v>
      </c>
      <c r="E100" t="s">
        <v>25</v>
      </c>
      <c r="F100">
        <v>87.87</v>
      </c>
      <c r="G100">
        <v>4</v>
      </c>
      <c r="H100" s="2">
        <f>Table3[[#This Row],[UnitPrice]]*Table3[Quantity]</f>
        <v>351.48</v>
      </c>
      <c r="I100" t="s">
        <v>39</v>
      </c>
      <c r="J100">
        <v>48</v>
      </c>
      <c r="K100" t="s">
        <v>21</v>
      </c>
      <c r="L100" t="s">
        <v>28</v>
      </c>
    </row>
    <row r="101" spans="1:12" x14ac:dyDescent="0.25">
      <c r="A101">
        <v>1100</v>
      </c>
      <c r="B101" s="1">
        <v>45936</v>
      </c>
      <c r="C101" t="s">
        <v>32</v>
      </c>
      <c r="D101" t="s">
        <v>18</v>
      </c>
      <c r="E101" t="s">
        <v>19</v>
      </c>
      <c r="F101">
        <v>1869.6</v>
      </c>
      <c r="G101">
        <v>2</v>
      </c>
      <c r="H101" s="2">
        <f>Table3[[#This Row],[UnitPrice]]*Table3[Quantity]</f>
        <v>3739.2</v>
      </c>
      <c r="I101" t="s">
        <v>67</v>
      </c>
      <c r="J101">
        <v>42</v>
      </c>
      <c r="K101" t="s">
        <v>21</v>
      </c>
      <c r="L101" t="s">
        <v>28</v>
      </c>
    </row>
    <row r="102" spans="1:12" x14ac:dyDescent="0.25">
      <c r="A102">
        <v>1101</v>
      </c>
      <c r="B102" s="1">
        <v>45680</v>
      </c>
      <c r="C102" t="s">
        <v>32</v>
      </c>
      <c r="D102" t="s">
        <v>24</v>
      </c>
      <c r="E102" t="s">
        <v>38</v>
      </c>
      <c r="F102">
        <v>92.21</v>
      </c>
      <c r="G102">
        <v>4</v>
      </c>
      <c r="H102" s="2">
        <f>Table3[[#This Row],[UnitPrice]]*Table3[Quantity]</f>
        <v>368.84</v>
      </c>
      <c r="I102" t="s">
        <v>71</v>
      </c>
      <c r="J102">
        <v>60</v>
      </c>
      <c r="K102" t="s">
        <v>27</v>
      </c>
      <c r="L102" t="s">
        <v>28</v>
      </c>
    </row>
    <row r="103" spans="1:12" x14ac:dyDescent="0.25">
      <c r="A103">
        <v>1102</v>
      </c>
      <c r="B103" s="1">
        <v>45735</v>
      </c>
      <c r="C103" t="s">
        <v>32</v>
      </c>
      <c r="D103" t="s">
        <v>24</v>
      </c>
      <c r="E103" t="s">
        <v>43</v>
      </c>
      <c r="F103">
        <v>55.21</v>
      </c>
      <c r="G103">
        <v>5</v>
      </c>
      <c r="H103" s="2">
        <f>Table3[[#This Row],[UnitPrice]]*Table3[Quantity]</f>
        <v>276.05</v>
      </c>
      <c r="I103" t="s">
        <v>72</v>
      </c>
      <c r="J103">
        <v>24</v>
      </c>
      <c r="K103" t="s">
        <v>27</v>
      </c>
      <c r="L103" t="s">
        <v>22</v>
      </c>
    </row>
    <row r="104" spans="1:12" x14ac:dyDescent="0.25">
      <c r="A104">
        <v>1103</v>
      </c>
      <c r="B104" s="1">
        <v>45927</v>
      </c>
      <c r="C104" t="s">
        <v>32</v>
      </c>
      <c r="D104" t="s">
        <v>12</v>
      </c>
      <c r="E104" t="s">
        <v>30</v>
      </c>
      <c r="F104">
        <v>904.99</v>
      </c>
      <c r="G104">
        <v>2</v>
      </c>
      <c r="H104" s="2">
        <f>Table3[[#This Row],[UnitPrice]]*Table3[Quantity]</f>
        <v>1809.98</v>
      </c>
      <c r="I104" t="s">
        <v>52</v>
      </c>
      <c r="J104">
        <v>48</v>
      </c>
      <c r="K104" t="s">
        <v>27</v>
      </c>
      <c r="L104" t="s">
        <v>22</v>
      </c>
    </row>
    <row r="105" spans="1:12" x14ac:dyDescent="0.25">
      <c r="A105">
        <v>1104</v>
      </c>
      <c r="B105" s="1">
        <v>45977</v>
      </c>
      <c r="C105" t="s">
        <v>17</v>
      </c>
      <c r="D105" t="s">
        <v>18</v>
      </c>
      <c r="E105" t="s">
        <v>19</v>
      </c>
      <c r="F105">
        <v>1851.77</v>
      </c>
      <c r="G105">
        <v>5</v>
      </c>
      <c r="H105" s="2">
        <f>Table3[[#This Row],[UnitPrice]]*Table3[Quantity]</f>
        <v>9258.85</v>
      </c>
      <c r="I105" t="s">
        <v>71</v>
      </c>
      <c r="J105">
        <v>38</v>
      </c>
      <c r="K105" t="s">
        <v>15</v>
      </c>
      <c r="L105" t="s">
        <v>16</v>
      </c>
    </row>
    <row r="106" spans="1:12" x14ac:dyDescent="0.25">
      <c r="A106">
        <v>1105</v>
      </c>
      <c r="B106" s="1">
        <v>45907</v>
      </c>
      <c r="C106" t="s">
        <v>17</v>
      </c>
      <c r="D106" t="s">
        <v>12</v>
      </c>
      <c r="E106" t="s">
        <v>30</v>
      </c>
      <c r="F106">
        <v>817.39</v>
      </c>
      <c r="G106">
        <v>3</v>
      </c>
      <c r="H106" s="2">
        <f>Table3[[#This Row],[UnitPrice]]*Table3[Quantity]</f>
        <v>2452.17</v>
      </c>
      <c r="I106" t="s">
        <v>37</v>
      </c>
      <c r="J106">
        <v>65</v>
      </c>
      <c r="K106" t="s">
        <v>21</v>
      </c>
      <c r="L106" t="s">
        <v>16</v>
      </c>
    </row>
    <row r="107" spans="1:12" x14ac:dyDescent="0.25">
      <c r="A107">
        <v>1106</v>
      </c>
      <c r="B107" s="1">
        <v>45982</v>
      </c>
      <c r="C107" t="s">
        <v>17</v>
      </c>
      <c r="D107" t="s">
        <v>24</v>
      </c>
      <c r="E107" t="s">
        <v>25</v>
      </c>
      <c r="F107">
        <v>24.97</v>
      </c>
      <c r="G107">
        <v>3</v>
      </c>
      <c r="H107" s="2">
        <f>Table3[[#This Row],[UnitPrice]]*Table3[Quantity]</f>
        <v>74.91</v>
      </c>
      <c r="I107" t="s">
        <v>73</v>
      </c>
      <c r="J107">
        <v>20</v>
      </c>
      <c r="K107" t="s">
        <v>21</v>
      </c>
      <c r="L107" t="s">
        <v>22</v>
      </c>
    </row>
    <row r="108" spans="1:12" x14ac:dyDescent="0.25">
      <c r="A108">
        <v>1107</v>
      </c>
      <c r="B108" s="1">
        <v>45841</v>
      </c>
      <c r="C108" t="s">
        <v>32</v>
      </c>
      <c r="D108" t="s">
        <v>18</v>
      </c>
      <c r="E108" t="s">
        <v>19</v>
      </c>
      <c r="F108">
        <v>1531.17</v>
      </c>
      <c r="G108">
        <v>5</v>
      </c>
      <c r="H108" s="2">
        <f>Table3[[#This Row],[UnitPrice]]*Table3[Quantity]</f>
        <v>7655.85</v>
      </c>
      <c r="I108" t="s">
        <v>55</v>
      </c>
      <c r="J108">
        <v>29</v>
      </c>
      <c r="K108" t="s">
        <v>21</v>
      </c>
      <c r="L108" t="s">
        <v>22</v>
      </c>
    </row>
    <row r="109" spans="1:12" x14ac:dyDescent="0.25">
      <c r="A109">
        <v>1108</v>
      </c>
      <c r="B109" s="1">
        <v>45853</v>
      </c>
      <c r="C109" t="s">
        <v>17</v>
      </c>
      <c r="D109" t="s">
        <v>34</v>
      </c>
      <c r="E109" t="s">
        <v>35</v>
      </c>
      <c r="F109">
        <v>765.13</v>
      </c>
      <c r="G109">
        <v>2</v>
      </c>
      <c r="H109" s="2">
        <f>Table3[[#This Row],[UnitPrice]]*Table3[Quantity]</f>
        <v>1530.26</v>
      </c>
      <c r="I109" t="s">
        <v>37</v>
      </c>
      <c r="J109">
        <v>47</v>
      </c>
      <c r="K109" t="s">
        <v>15</v>
      </c>
      <c r="L109" t="s">
        <v>22</v>
      </c>
    </row>
    <row r="110" spans="1:12" x14ac:dyDescent="0.25">
      <c r="A110">
        <v>1109</v>
      </c>
      <c r="B110" s="1">
        <v>45999</v>
      </c>
      <c r="C110" t="s">
        <v>11</v>
      </c>
      <c r="D110" t="s">
        <v>24</v>
      </c>
      <c r="E110" t="s">
        <v>25</v>
      </c>
      <c r="F110">
        <v>91.11</v>
      </c>
      <c r="G110">
        <v>5</v>
      </c>
      <c r="H110" s="2">
        <f>Table3[[#This Row],[UnitPrice]]*Table3[Quantity]</f>
        <v>455.55</v>
      </c>
      <c r="I110" t="s">
        <v>36</v>
      </c>
      <c r="J110">
        <v>22</v>
      </c>
      <c r="K110" t="s">
        <v>21</v>
      </c>
      <c r="L110" t="s">
        <v>22</v>
      </c>
    </row>
    <row r="111" spans="1:12" x14ac:dyDescent="0.25">
      <c r="A111">
        <v>1110</v>
      </c>
      <c r="B111" s="1">
        <v>45958</v>
      </c>
      <c r="C111" t="s">
        <v>32</v>
      </c>
      <c r="D111" t="s">
        <v>34</v>
      </c>
      <c r="E111" t="s">
        <v>35</v>
      </c>
      <c r="F111">
        <v>676.13</v>
      </c>
      <c r="G111">
        <v>4</v>
      </c>
      <c r="H111" s="2">
        <f>Table3[[#This Row],[UnitPrice]]*Table3[Quantity]</f>
        <v>2704.52</v>
      </c>
      <c r="I111" t="s">
        <v>53</v>
      </c>
      <c r="J111">
        <v>30</v>
      </c>
      <c r="K111" t="s">
        <v>27</v>
      </c>
      <c r="L111" t="s">
        <v>16</v>
      </c>
    </row>
    <row r="112" spans="1:12" x14ac:dyDescent="0.25">
      <c r="A112">
        <v>1111</v>
      </c>
      <c r="B112" s="1">
        <v>45712</v>
      </c>
      <c r="C112" t="s">
        <v>11</v>
      </c>
      <c r="D112" t="s">
        <v>18</v>
      </c>
      <c r="E112" t="s">
        <v>19</v>
      </c>
      <c r="F112">
        <v>1574.81</v>
      </c>
      <c r="G112">
        <v>3</v>
      </c>
      <c r="H112" s="2">
        <f>Table3[[#This Row],[UnitPrice]]*Table3[Quantity]</f>
        <v>4724.43</v>
      </c>
      <c r="I112" t="s">
        <v>73</v>
      </c>
      <c r="J112">
        <v>60</v>
      </c>
      <c r="K112" t="s">
        <v>21</v>
      </c>
      <c r="L112" t="s">
        <v>22</v>
      </c>
    </row>
    <row r="113" spans="1:12" x14ac:dyDescent="0.25">
      <c r="A113">
        <v>1112</v>
      </c>
      <c r="B113" s="1">
        <v>46009</v>
      </c>
      <c r="C113" t="s">
        <v>17</v>
      </c>
      <c r="D113" t="s">
        <v>24</v>
      </c>
      <c r="E113" t="s">
        <v>38</v>
      </c>
      <c r="F113">
        <v>77.069999999999993</v>
      </c>
      <c r="G113">
        <v>3</v>
      </c>
      <c r="H113" s="2">
        <f>Table3[[#This Row],[UnitPrice]]*Table3[Quantity]</f>
        <v>231.20999999999998</v>
      </c>
      <c r="I113" t="s">
        <v>31</v>
      </c>
      <c r="J113">
        <v>32</v>
      </c>
      <c r="K113" t="s">
        <v>15</v>
      </c>
      <c r="L113" t="s">
        <v>22</v>
      </c>
    </row>
    <row r="114" spans="1:12" x14ac:dyDescent="0.25">
      <c r="A114">
        <v>1113</v>
      </c>
      <c r="B114" s="1">
        <v>45983</v>
      </c>
      <c r="C114" t="s">
        <v>11</v>
      </c>
      <c r="D114" t="s">
        <v>34</v>
      </c>
      <c r="E114" t="s">
        <v>35</v>
      </c>
      <c r="F114">
        <v>651.29999999999995</v>
      </c>
      <c r="G114">
        <v>1</v>
      </c>
      <c r="H114" s="2">
        <f>Table3[[#This Row],[UnitPrice]]*Table3[Quantity]</f>
        <v>651.29999999999995</v>
      </c>
      <c r="I114" t="s">
        <v>53</v>
      </c>
      <c r="J114">
        <v>46</v>
      </c>
      <c r="K114" t="s">
        <v>21</v>
      </c>
      <c r="L114" t="s">
        <v>22</v>
      </c>
    </row>
    <row r="115" spans="1:12" x14ac:dyDescent="0.25">
      <c r="A115">
        <v>1114</v>
      </c>
      <c r="B115" s="1">
        <v>45725</v>
      </c>
      <c r="C115" t="s">
        <v>11</v>
      </c>
      <c r="D115" t="s">
        <v>24</v>
      </c>
      <c r="E115" t="s">
        <v>25</v>
      </c>
      <c r="F115">
        <v>77.27</v>
      </c>
      <c r="G115">
        <v>2</v>
      </c>
      <c r="H115" s="2">
        <f>Table3[[#This Row],[UnitPrice]]*Table3[Quantity]</f>
        <v>154.54</v>
      </c>
      <c r="I115" t="s">
        <v>58</v>
      </c>
      <c r="J115">
        <v>26</v>
      </c>
      <c r="K115" t="s">
        <v>27</v>
      </c>
      <c r="L115" t="s">
        <v>16</v>
      </c>
    </row>
    <row r="116" spans="1:12" x14ac:dyDescent="0.25">
      <c r="A116">
        <v>1115</v>
      </c>
      <c r="B116" s="1">
        <v>45845</v>
      </c>
      <c r="C116" t="s">
        <v>17</v>
      </c>
      <c r="D116" t="s">
        <v>18</v>
      </c>
      <c r="E116" t="s">
        <v>19</v>
      </c>
      <c r="F116">
        <v>1830.47</v>
      </c>
      <c r="G116">
        <v>3</v>
      </c>
      <c r="H116" s="2">
        <f>Table3[[#This Row],[UnitPrice]]*Table3[Quantity]</f>
        <v>5491.41</v>
      </c>
      <c r="I116" t="s">
        <v>48</v>
      </c>
      <c r="J116">
        <v>36</v>
      </c>
      <c r="K116" t="s">
        <v>27</v>
      </c>
      <c r="L116" t="s">
        <v>22</v>
      </c>
    </row>
    <row r="117" spans="1:12" x14ac:dyDescent="0.25">
      <c r="A117">
        <v>1116</v>
      </c>
      <c r="B117" s="1">
        <v>45716</v>
      </c>
      <c r="C117" t="s">
        <v>32</v>
      </c>
      <c r="D117" t="s">
        <v>24</v>
      </c>
      <c r="E117" t="s">
        <v>43</v>
      </c>
      <c r="F117">
        <v>77.87</v>
      </c>
      <c r="G117">
        <v>2</v>
      </c>
      <c r="H117" s="2">
        <f>Table3[[#This Row],[UnitPrice]]*Table3[Quantity]</f>
        <v>155.74</v>
      </c>
      <c r="I117" t="s">
        <v>55</v>
      </c>
      <c r="J117">
        <v>64</v>
      </c>
      <c r="K117" t="s">
        <v>15</v>
      </c>
      <c r="L117" t="s">
        <v>22</v>
      </c>
    </row>
    <row r="118" spans="1:12" x14ac:dyDescent="0.25">
      <c r="A118">
        <v>1117</v>
      </c>
      <c r="B118" s="1">
        <v>45943</v>
      </c>
      <c r="C118" t="s">
        <v>32</v>
      </c>
      <c r="D118" t="s">
        <v>12</v>
      </c>
      <c r="E118" t="s">
        <v>13</v>
      </c>
      <c r="F118">
        <v>706.96</v>
      </c>
      <c r="G118">
        <v>5</v>
      </c>
      <c r="H118" s="2">
        <f>Table3[[#This Row],[UnitPrice]]*Table3[Quantity]</f>
        <v>3534.8</v>
      </c>
      <c r="I118" t="s">
        <v>44</v>
      </c>
      <c r="J118">
        <v>47</v>
      </c>
      <c r="K118" t="s">
        <v>21</v>
      </c>
      <c r="L118" t="s">
        <v>28</v>
      </c>
    </row>
    <row r="119" spans="1:12" x14ac:dyDescent="0.25">
      <c r="A119">
        <v>1118</v>
      </c>
      <c r="B119" s="1">
        <v>45792</v>
      </c>
      <c r="C119" t="s">
        <v>17</v>
      </c>
      <c r="D119" t="s">
        <v>18</v>
      </c>
      <c r="E119" t="s">
        <v>19</v>
      </c>
      <c r="F119">
        <v>1108.3499999999999</v>
      </c>
      <c r="G119">
        <v>2</v>
      </c>
      <c r="H119" s="2">
        <f>Table3[[#This Row],[UnitPrice]]*Table3[Quantity]</f>
        <v>2216.6999999999998</v>
      </c>
      <c r="I119" t="s">
        <v>48</v>
      </c>
      <c r="J119">
        <v>19</v>
      </c>
      <c r="K119" t="s">
        <v>15</v>
      </c>
      <c r="L119" t="s">
        <v>16</v>
      </c>
    </row>
    <row r="120" spans="1:12" x14ac:dyDescent="0.25">
      <c r="A120">
        <v>1119</v>
      </c>
      <c r="B120" s="1">
        <v>45825</v>
      </c>
      <c r="C120" t="s">
        <v>17</v>
      </c>
      <c r="D120" t="s">
        <v>12</v>
      </c>
      <c r="E120" t="s">
        <v>30</v>
      </c>
      <c r="F120">
        <v>1017.7</v>
      </c>
      <c r="G120">
        <v>4</v>
      </c>
      <c r="H120" s="2">
        <f>Table3[[#This Row],[UnitPrice]]*Table3[Quantity]</f>
        <v>4070.8</v>
      </c>
      <c r="I120" t="s">
        <v>74</v>
      </c>
      <c r="J120">
        <v>37</v>
      </c>
      <c r="K120" t="s">
        <v>15</v>
      </c>
      <c r="L120" t="s">
        <v>22</v>
      </c>
    </row>
    <row r="121" spans="1:12" x14ac:dyDescent="0.25">
      <c r="A121">
        <v>1120</v>
      </c>
      <c r="B121" s="1">
        <v>45681</v>
      </c>
      <c r="C121" t="s">
        <v>11</v>
      </c>
      <c r="D121" t="s">
        <v>18</v>
      </c>
      <c r="E121" t="s">
        <v>19</v>
      </c>
      <c r="F121">
        <v>1116.1199999999999</v>
      </c>
      <c r="G121">
        <v>2</v>
      </c>
      <c r="H121" s="2">
        <f>Table3[[#This Row],[UnitPrice]]*Table3[Quantity]</f>
        <v>2232.2399999999998</v>
      </c>
      <c r="I121" t="s">
        <v>39</v>
      </c>
      <c r="J121">
        <v>26</v>
      </c>
      <c r="K121" t="s">
        <v>21</v>
      </c>
      <c r="L121" t="s">
        <v>22</v>
      </c>
    </row>
    <row r="122" spans="1:12" x14ac:dyDescent="0.25">
      <c r="A122">
        <v>1121</v>
      </c>
      <c r="B122" s="1">
        <v>46014</v>
      </c>
      <c r="C122" t="s">
        <v>17</v>
      </c>
      <c r="D122" t="s">
        <v>18</v>
      </c>
      <c r="E122" t="s">
        <v>19</v>
      </c>
      <c r="F122">
        <v>1885.41</v>
      </c>
      <c r="G122">
        <v>1</v>
      </c>
      <c r="H122" s="2">
        <f>Table3[[#This Row],[UnitPrice]]*Table3[Quantity]</f>
        <v>1885.41</v>
      </c>
      <c r="I122" t="s">
        <v>62</v>
      </c>
      <c r="J122">
        <v>57</v>
      </c>
      <c r="K122" t="s">
        <v>21</v>
      </c>
      <c r="L122" t="s">
        <v>16</v>
      </c>
    </row>
    <row r="123" spans="1:12" x14ac:dyDescent="0.25">
      <c r="A123">
        <v>1122</v>
      </c>
      <c r="B123" s="1">
        <v>45674</v>
      </c>
      <c r="C123" t="s">
        <v>17</v>
      </c>
      <c r="D123" t="s">
        <v>18</v>
      </c>
      <c r="E123" t="s">
        <v>19</v>
      </c>
      <c r="F123">
        <v>1444.7</v>
      </c>
      <c r="G123">
        <v>2</v>
      </c>
      <c r="H123" s="2">
        <f>Table3[[#This Row],[UnitPrice]]*Table3[Quantity]</f>
        <v>2889.4</v>
      </c>
      <c r="I123" t="s">
        <v>75</v>
      </c>
      <c r="J123">
        <v>24</v>
      </c>
      <c r="K123" t="s">
        <v>27</v>
      </c>
      <c r="L123" t="s">
        <v>22</v>
      </c>
    </row>
    <row r="124" spans="1:12" x14ac:dyDescent="0.25">
      <c r="A124">
        <v>1123</v>
      </c>
      <c r="B124" s="1">
        <v>45988</v>
      </c>
      <c r="C124" t="s">
        <v>32</v>
      </c>
      <c r="D124" t="s">
        <v>12</v>
      </c>
      <c r="E124" t="s">
        <v>13</v>
      </c>
      <c r="F124">
        <v>794.9</v>
      </c>
      <c r="G124">
        <v>1</v>
      </c>
      <c r="H124" s="2">
        <f>Table3[[#This Row],[UnitPrice]]*Table3[Quantity]</f>
        <v>794.9</v>
      </c>
      <c r="I124" t="s">
        <v>41</v>
      </c>
      <c r="J124">
        <v>23</v>
      </c>
      <c r="K124" t="s">
        <v>15</v>
      </c>
      <c r="L124" t="s">
        <v>28</v>
      </c>
    </row>
    <row r="125" spans="1:12" x14ac:dyDescent="0.25">
      <c r="A125">
        <v>1124</v>
      </c>
      <c r="B125" s="1">
        <v>45963</v>
      </c>
      <c r="C125" t="s">
        <v>11</v>
      </c>
      <c r="D125" t="s">
        <v>12</v>
      </c>
      <c r="E125" t="s">
        <v>13</v>
      </c>
      <c r="F125">
        <v>821.78</v>
      </c>
      <c r="G125">
        <v>2</v>
      </c>
      <c r="H125" s="2">
        <f>Table3[[#This Row],[UnitPrice]]*Table3[Quantity]</f>
        <v>1643.56</v>
      </c>
      <c r="I125" t="s">
        <v>67</v>
      </c>
      <c r="J125">
        <v>31</v>
      </c>
      <c r="K125" t="s">
        <v>21</v>
      </c>
      <c r="L125" t="s">
        <v>28</v>
      </c>
    </row>
    <row r="126" spans="1:12" x14ac:dyDescent="0.25">
      <c r="A126">
        <v>1125</v>
      </c>
      <c r="B126" s="1">
        <v>45764</v>
      </c>
      <c r="C126" t="s">
        <v>17</v>
      </c>
      <c r="D126" t="s">
        <v>12</v>
      </c>
      <c r="E126" t="s">
        <v>30</v>
      </c>
      <c r="F126">
        <v>864.28</v>
      </c>
      <c r="G126">
        <v>2</v>
      </c>
      <c r="H126" s="2">
        <f>Table3[[#This Row],[UnitPrice]]*Table3[Quantity]</f>
        <v>1728.56</v>
      </c>
      <c r="I126" t="s">
        <v>63</v>
      </c>
      <c r="J126">
        <v>18</v>
      </c>
      <c r="K126" t="s">
        <v>21</v>
      </c>
      <c r="L126" t="s">
        <v>16</v>
      </c>
    </row>
    <row r="127" spans="1:12" x14ac:dyDescent="0.25">
      <c r="A127">
        <v>1126</v>
      </c>
      <c r="B127" s="1">
        <v>45724</v>
      </c>
      <c r="C127" t="s">
        <v>17</v>
      </c>
      <c r="D127" t="s">
        <v>12</v>
      </c>
      <c r="E127" t="s">
        <v>30</v>
      </c>
      <c r="F127">
        <v>754.96</v>
      </c>
      <c r="G127">
        <v>1</v>
      </c>
      <c r="H127" s="2">
        <f>Table3[[#This Row],[UnitPrice]]*Table3[Quantity]</f>
        <v>754.96</v>
      </c>
      <c r="I127" t="s">
        <v>64</v>
      </c>
      <c r="J127">
        <v>18</v>
      </c>
      <c r="K127" t="s">
        <v>21</v>
      </c>
      <c r="L127" t="s">
        <v>28</v>
      </c>
    </row>
    <row r="128" spans="1:12" x14ac:dyDescent="0.25">
      <c r="A128">
        <v>1127</v>
      </c>
      <c r="B128" s="1">
        <v>45959</v>
      </c>
      <c r="C128" t="s">
        <v>32</v>
      </c>
      <c r="D128" t="s">
        <v>12</v>
      </c>
      <c r="E128" t="s">
        <v>13</v>
      </c>
      <c r="F128">
        <v>726.2</v>
      </c>
      <c r="G128">
        <v>4</v>
      </c>
      <c r="H128" s="2">
        <f>Table3[[#This Row],[UnitPrice]]*Table3[Quantity]</f>
        <v>2904.8</v>
      </c>
      <c r="I128" t="s">
        <v>76</v>
      </c>
      <c r="J128">
        <v>25</v>
      </c>
      <c r="K128" t="s">
        <v>27</v>
      </c>
      <c r="L128" t="s">
        <v>22</v>
      </c>
    </row>
    <row r="129" spans="1:12" x14ac:dyDescent="0.25">
      <c r="A129">
        <v>1128</v>
      </c>
      <c r="B129" s="1">
        <v>45843</v>
      </c>
      <c r="C129" t="s">
        <v>17</v>
      </c>
      <c r="D129" t="s">
        <v>34</v>
      </c>
      <c r="E129" t="s">
        <v>35</v>
      </c>
      <c r="F129">
        <v>601.54</v>
      </c>
      <c r="G129">
        <v>5</v>
      </c>
      <c r="H129" s="2">
        <f>Table3[[#This Row],[UnitPrice]]*Table3[Quantity]</f>
        <v>3007.7</v>
      </c>
      <c r="I129" t="s">
        <v>57</v>
      </c>
      <c r="J129">
        <v>64</v>
      </c>
      <c r="K129" t="s">
        <v>27</v>
      </c>
      <c r="L129" t="s">
        <v>16</v>
      </c>
    </row>
    <row r="130" spans="1:12" x14ac:dyDescent="0.25">
      <c r="A130">
        <v>1129</v>
      </c>
      <c r="B130" s="1">
        <v>45924</v>
      </c>
      <c r="C130" t="s">
        <v>32</v>
      </c>
      <c r="D130" t="s">
        <v>18</v>
      </c>
      <c r="E130" t="s">
        <v>19</v>
      </c>
      <c r="F130">
        <v>1060.83</v>
      </c>
      <c r="G130">
        <v>4</v>
      </c>
      <c r="H130" s="2">
        <f>Table3[[#This Row],[UnitPrice]]*Table3[Quantity]</f>
        <v>4243.32</v>
      </c>
      <c r="I130" t="s">
        <v>56</v>
      </c>
      <c r="J130">
        <v>45</v>
      </c>
      <c r="K130" t="s">
        <v>15</v>
      </c>
      <c r="L130" t="s">
        <v>22</v>
      </c>
    </row>
    <row r="131" spans="1:12" x14ac:dyDescent="0.25">
      <c r="A131">
        <v>1130</v>
      </c>
      <c r="B131" s="1">
        <v>45885</v>
      </c>
      <c r="C131" t="s">
        <v>11</v>
      </c>
      <c r="D131" t="s">
        <v>24</v>
      </c>
      <c r="E131" t="s">
        <v>25</v>
      </c>
      <c r="F131">
        <v>64.75</v>
      </c>
      <c r="G131">
        <v>1</v>
      </c>
      <c r="H131" s="2">
        <f>Table3[[#This Row],[UnitPrice]]*Table3[Quantity]</f>
        <v>64.75</v>
      </c>
      <c r="I131" t="s">
        <v>64</v>
      </c>
      <c r="J131">
        <v>35</v>
      </c>
      <c r="K131" t="s">
        <v>15</v>
      </c>
      <c r="L131" t="s">
        <v>28</v>
      </c>
    </row>
    <row r="132" spans="1:12" x14ac:dyDescent="0.25">
      <c r="A132">
        <v>1131</v>
      </c>
      <c r="B132" s="1">
        <v>46022</v>
      </c>
      <c r="C132" t="s">
        <v>32</v>
      </c>
      <c r="D132" t="s">
        <v>18</v>
      </c>
      <c r="E132" t="s">
        <v>19</v>
      </c>
      <c r="F132">
        <v>1453.72</v>
      </c>
      <c r="G132">
        <v>5</v>
      </c>
      <c r="H132" s="2">
        <f>Table3[[#This Row],[UnitPrice]]*Table3[Quantity]</f>
        <v>7268.6</v>
      </c>
      <c r="I132" t="s">
        <v>46</v>
      </c>
      <c r="J132">
        <v>24</v>
      </c>
      <c r="K132" t="s">
        <v>27</v>
      </c>
      <c r="L132" t="s">
        <v>22</v>
      </c>
    </row>
    <row r="133" spans="1:12" x14ac:dyDescent="0.25">
      <c r="A133">
        <v>1132</v>
      </c>
      <c r="B133" s="1">
        <v>45993</v>
      </c>
      <c r="C133" t="s">
        <v>17</v>
      </c>
      <c r="D133" t="s">
        <v>24</v>
      </c>
      <c r="E133" t="s">
        <v>38</v>
      </c>
      <c r="F133">
        <v>74.88</v>
      </c>
      <c r="G133">
        <v>2</v>
      </c>
      <c r="H133" s="2">
        <f>Table3[[#This Row],[UnitPrice]]*Table3[Quantity]</f>
        <v>149.76</v>
      </c>
      <c r="I133" t="s">
        <v>46</v>
      </c>
      <c r="J133">
        <v>46</v>
      </c>
      <c r="K133" t="s">
        <v>27</v>
      </c>
      <c r="L133" t="s">
        <v>22</v>
      </c>
    </row>
    <row r="134" spans="1:12" x14ac:dyDescent="0.25">
      <c r="A134">
        <v>1133</v>
      </c>
      <c r="B134" s="1">
        <v>45890</v>
      </c>
      <c r="C134" t="s">
        <v>32</v>
      </c>
      <c r="D134" t="s">
        <v>18</v>
      </c>
      <c r="E134" t="s">
        <v>19</v>
      </c>
      <c r="F134">
        <v>1312.55</v>
      </c>
      <c r="G134">
        <v>3</v>
      </c>
      <c r="H134" s="2">
        <f>Table3[[#This Row],[UnitPrice]]*Table3[Quantity]</f>
        <v>3937.6499999999996</v>
      </c>
      <c r="I134" t="s">
        <v>51</v>
      </c>
      <c r="J134">
        <v>34</v>
      </c>
      <c r="K134" t="s">
        <v>21</v>
      </c>
      <c r="L134" t="s">
        <v>22</v>
      </c>
    </row>
    <row r="135" spans="1:12" x14ac:dyDescent="0.25">
      <c r="A135">
        <v>1134</v>
      </c>
      <c r="B135" s="1">
        <v>45900</v>
      </c>
      <c r="C135" t="s">
        <v>11</v>
      </c>
      <c r="D135" t="s">
        <v>12</v>
      </c>
      <c r="E135" t="s">
        <v>30</v>
      </c>
      <c r="F135">
        <v>746.62</v>
      </c>
      <c r="G135">
        <v>1</v>
      </c>
      <c r="H135" s="2">
        <f>Table3[[#This Row],[UnitPrice]]*Table3[Quantity]</f>
        <v>746.62</v>
      </c>
      <c r="I135" t="s">
        <v>14</v>
      </c>
      <c r="J135">
        <v>65</v>
      </c>
      <c r="K135" t="s">
        <v>21</v>
      </c>
      <c r="L135" t="s">
        <v>22</v>
      </c>
    </row>
    <row r="136" spans="1:12" x14ac:dyDescent="0.25">
      <c r="A136">
        <v>1135</v>
      </c>
      <c r="B136" s="1">
        <v>45688</v>
      </c>
      <c r="C136" t="s">
        <v>17</v>
      </c>
      <c r="D136" t="s">
        <v>24</v>
      </c>
      <c r="E136" t="s">
        <v>38</v>
      </c>
      <c r="F136">
        <v>39.67</v>
      </c>
      <c r="G136">
        <v>1</v>
      </c>
      <c r="H136" s="2">
        <f>Table3[[#This Row],[UnitPrice]]*Table3[Quantity]</f>
        <v>39.67</v>
      </c>
      <c r="I136" t="s">
        <v>65</v>
      </c>
      <c r="J136">
        <v>40</v>
      </c>
      <c r="K136" t="s">
        <v>27</v>
      </c>
      <c r="L136" t="s">
        <v>16</v>
      </c>
    </row>
    <row r="137" spans="1:12" x14ac:dyDescent="0.25">
      <c r="A137">
        <v>1136</v>
      </c>
      <c r="B137" s="1">
        <v>45874</v>
      </c>
      <c r="C137" t="s">
        <v>17</v>
      </c>
      <c r="D137" t="s">
        <v>12</v>
      </c>
      <c r="E137" t="s">
        <v>13</v>
      </c>
      <c r="F137">
        <v>1000.21</v>
      </c>
      <c r="G137">
        <v>3</v>
      </c>
      <c r="H137" s="2">
        <f>Table3[[#This Row],[UnitPrice]]*Table3[Quantity]</f>
        <v>3000.63</v>
      </c>
      <c r="I137" t="s">
        <v>26</v>
      </c>
      <c r="J137">
        <v>54</v>
      </c>
      <c r="K137" t="s">
        <v>15</v>
      </c>
      <c r="L137" t="s">
        <v>22</v>
      </c>
    </row>
    <row r="138" spans="1:12" x14ac:dyDescent="0.25">
      <c r="A138">
        <v>1137</v>
      </c>
      <c r="B138" s="1">
        <v>45904</v>
      </c>
      <c r="C138" t="s">
        <v>11</v>
      </c>
      <c r="D138" t="s">
        <v>24</v>
      </c>
      <c r="E138" t="s">
        <v>25</v>
      </c>
      <c r="F138">
        <v>86.08</v>
      </c>
      <c r="G138">
        <v>3</v>
      </c>
      <c r="H138" s="2">
        <f>Table3[[#This Row],[UnitPrice]]*Table3[Quantity]</f>
        <v>258.24</v>
      </c>
      <c r="I138" t="s">
        <v>44</v>
      </c>
      <c r="J138">
        <v>35</v>
      </c>
      <c r="K138" t="s">
        <v>15</v>
      </c>
      <c r="L138" t="s">
        <v>16</v>
      </c>
    </row>
    <row r="139" spans="1:12" x14ac:dyDescent="0.25">
      <c r="A139">
        <v>1138</v>
      </c>
      <c r="B139" s="1">
        <v>45945</v>
      </c>
      <c r="C139" t="s">
        <v>17</v>
      </c>
      <c r="D139" t="s">
        <v>34</v>
      </c>
      <c r="E139" t="s">
        <v>35</v>
      </c>
      <c r="F139">
        <v>643.6</v>
      </c>
      <c r="G139">
        <v>3</v>
      </c>
      <c r="H139" s="2">
        <f>Table3[[#This Row],[UnitPrice]]*Table3[Quantity]</f>
        <v>1930.8000000000002</v>
      </c>
      <c r="I139" t="s">
        <v>73</v>
      </c>
      <c r="J139">
        <v>29</v>
      </c>
      <c r="K139" t="s">
        <v>21</v>
      </c>
      <c r="L139" t="s">
        <v>28</v>
      </c>
    </row>
    <row r="140" spans="1:12" x14ac:dyDescent="0.25">
      <c r="A140">
        <v>1139</v>
      </c>
      <c r="B140" s="1">
        <v>45831</v>
      </c>
      <c r="C140" t="s">
        <v>32</v>
      </c>
      <c r="D140" t="s">
        <v>12</v>
      </c>
      <c r="E140" t="s">
        <v>30</v>
      </c>
      <c r="F140">
        <v>983.16</v>
      </c>
      <c r="G140">
        <v>4</v>
      </c>
      <c r="H140" s="2">
        <f>Table3[[#This Row],[UnitPrice]]*Table3[Quantity]</f>
        <v>3932.64</v>
      </c>
      <c r="I140" t="s">
        <v>52</v>
      </c>
      <c r="J140">
        <v>27</v>
      </c>
      <c r="K140" t="s">
        <v>27</v>
      </c>
      <c r="L140" t="s">
        <v>16</v>
      </c>
    </row>
    <row r="141" spans="1:12" x14ac:dyDescent="0.25">
      <c r="A141">
        <v>1140</v>
      </c>
      <c r="B141" s="1">
        <v>45704</v>
      </c>
      <c r="C141" t="s">
        <v>17</v>
      </c>
      <c r="D141" t="s">
        <v>18</v>
      </c>
      <c r="E141" t="s">
        <v>19</v>
      </c>
      <c r="F141">
        <v>1419.83</v>
      </c>
      <c r="G141">
        <v>3</v>
      </c>
      <c r="H141" s="2">
        <f>Table3[[#This Row],[UnitPrice]]*Table3[Quantity]</f>
        <v>4259.49</v>
      </c>
      <c r="I141" t="s">
        <v>36</v>
      </c>
      <c r="J141">
        <v>41</v>
      </c>
      <c r="K141" t="s">
        <v>21</v>
      </c>
      <c r="L141" t="s">
        <v>22</v>
      </c>
    </row>
    <row r="142" spans="1:12" x14ac:dyDescent="0.25">
      <c r="A142">
        <v>1141</v>
      </c>
      <c r="B142" s="1">
        <v>45948</v>
      </c>
      <c r="C142" t="s">
        <v>17</v>
      </c>
      <c r="D142" t="s">
        <v>12</v>
      </c>
      <c r="E142" t="s">
        <v>30</v>
      </c>
      <c r="F142">
        <v>777.79</v>
      </c>
      <c r="G142">
        <v>5</v>
      </c>
      <c r="H142" s="2">
        <f>Table3[[#This Row],[UnitPrice]]*Table3[Quantity]</f>
        <v>3888.95</v>
      </c>
      <c r="I142" t="s">
        <v>50</v>
      </c>
      <c r="J142">
        <v>61</v>
      </c>
      <c r="K142" t="s">
        <v>21</v>
      </c>
      <c r="L142" t="s">
        <v>22</v>
      </c>
    </row>
    <row r="143" spans="1:12" x14ac:dyDescent="0.25">
      <c r="A143">
        <v>1142</v>
      </c>
      <c r="B143" s="1">
        <v>45875</v>
      </c>
      <c r="C143" t="s">
        <v>32</v>
      </c>
      <c r="D143" t="s">
        <v>34</v>
      </c>
      <c r="E143" t="s">
        <v>35</v>
      </c>
      <c r="F143">
        <v>509.27</v>
      </c>
      <c r="G143">
        <v>5</v>
      </c>
      <c r="H143" s="2">
        <f>Table3[[#This Row],[UnitPrice]]*Table3[Quantity]</f>
        <v>2546.35</v>
      </c>
      <c r="I143" t="s">
        <v>44</v>
      </c>
      <c r="J143">
        <v>40</v>
      </c>
      <c r="K143" t="s">
        <v>21</v>
      </c>
      <c r="L143" t="s">
        <v>22</v>
      </c>
    </row>
    <row r="144" spans="1:12" x14ac:dyDescent="0.25">
      <c r="A144">
        <v>1143</v>
      </c>
      <c r="B144" s="1">
        <v>46005</v>
      </c>
      <c r="C144" t="s">
        <v>17</v>
      </c>
      <c r="D144" t="s">
        <v>18</v>
      </c>
      <c r="E144" t="s">
        <v>19</v>
      </c>
      <c r="F144">
        <v>1045.42</v>
      </c>
      <c r="G144">
        <v>4</v>
      </c>
      <c r="H144" s="2">
        <f>Table3[[#This Row],[UnitPrice]]*Table3[Quantity]</f>
        <v>4181.68</v>
      </c>
      <c r="I144" t="s">
        <v>63</v>
      </c>
      <c r="J144">
        <v>21</v>
      </c>
      <c r="K144" t="s">
        <v>21</v>
      </c>
      <c r="L144" t="s">
        <v>22</v>
      </c>
    </row>
    <row r="145" spans="1:12" x14ac:dyDescent="0.25">
      <c r="A145">
        <v>1144</v>
      </c>
      <c r="B145" s="1">
        <v>45766</v>
      </c>
      <c r="C145" t="s">
        <v>11</v>
      </c>
      <c r="D145" t="s">
        <v>24</v>
      </c>
      <c r="E145" t="s">
        <v>25</v>
      </c>
      <c r="F145">
        <v>39.53</v>
      </c>
      <c r="G145">
        <v>1</v>
      </c>
      <c r="H145" s="2">
        <f>Table3[[#This Row],[UnitPrice]]*Table3[Quantity]</f>
        <v>39.53</v>
      </c>
      <c r="I145" t="s">
        <v>62</v>
      </c>
      <c r="J145">
        <v>65</v>
      </c>
      <c r="K145" t="s">
        <v>21</v>
      </c>
      <c r="L145" t="s">
        <v>22</v>
      </c>
    </row>
    <row r="146" spans="1:12" x14ac:dyDescent="0.25">
      <c r="A146">
        <v>1145</v>
      </c>
      <c r="B146" s="1">
        <v>45930</v>
      </c>
      <c r="C146" t="s">
        <v>17</v>
      </c>
      <c r="D146" t="s">
        <v>12</v>
      </c>
      <c r="E146" t="s">
        <v>13</v>
      </c>
      <c r="F146">
        <v>736.04</v>
      </c>
      <c r="G146">
        <v>1</v>
      </c>
      <c r="H146" s="2">
        <f>Table3[[#This Row],[UnitPrice]]*Table3[Quantity]</f>
        <v>736.04</v>
      </c>
      <c r="I146" t="s">
        <v>46</v>
      </c>
      <c r="J146">
        <v>19</v>
      </c>
      <c r="K146" t="s">
        <v>21</v>
      </c>
      <c r="L146" t="s">
        <v>22</v>
      </c>
    </row>
    <row r="147" spans="1:12" x14ac:dyDescent="0.25">
      <c r="A147">
        <v>1146</v>
      </c>
      <c r="B147" s="1">
        <v>45818</v>
      </c>
      <c r="C147" t="s">
        <v>17</v>
      </c>
      <c r="D147" t="s">
        <v>18</v>
      </c>
      <c r="E147" t="s">
        <v>19</v>
      </c>
      <c r="F147">
        <v>1709.5</v>
      </c>
      <c r="G147">
        <v>4</v>
      </c>
      <c r="H147" s="2">
        <f>Table3[[#This Row],[UnitPrice]]*Table3[Quantity]</f>
        <v>6838</v>
      </c>
      <c r="I147" t="s">
        <v>49</v>
      </c>
      <c r="J147">
        <v>25</v>
      </c>
      <c r="K147" t="s">
        <v>21</v>
      </c>
      <c r="L147" t="s">
        <v>16</v>
      </c>
    </row>
    <row r="148" spans="1:12" x14ac:dyDescent="0.25">
      <c r="A148">
        <v>1147</v>
      </c>
      <c r="B148" s="1">
        <v>45745</v>
      </c>
      <c r="C148" t="s">
        <v>17</v>
      </c>
      <c r="D148" t="s">
        <v>18</v>
      </c>
      <c r="E148" t="s">
        <v>19</v>
      </c>
      <c r="F148">
        <v>1088.1300000000001</v>
      </c>
      <c r="G148">
        <v>1</v>
      </c>
      <c r="H148" s="2">
        <f>Table3[[#This Row],[UnitPrice]]*Table3[Quantity]</f>
        <v>1088.1300000000001</v>
      </c>
      <c r="I148" t="s">
        <v>42</v>
      </c>
      <c r="J148">
        <v>45</v>
      </c>
      <c r="K148" t="s">
        <v>15</v>
      </c>
      <c r="L148" t="s">
        <v>28</v>
      </c>
    </row>
    <row r="149" spans="1:12" x14ac:dyDescent="0.25">
      <c r="A149">
        <v>1148</v>
      </c>
      <c r="B149" s="1">
        <v>45860</v>
      </c>
      <c r="C149" t="s">
        <v>32</v>
      </c>
      <c r="D149" t="s">
        <v>24</v>
      </c>
      <c r="E149" t="s">
        <v>43</v>
      </c>
      <c r="F149">
        <v>39.979999999999997</v>
      </c>
      <c r="G149">
        <v>2</v>
      </c>
      <c r="H149" s="2">
        <f>Table3[[#This Row],[UnitPrice]]*Table3[Quantity]</f>
        <v>79.959999999999994</v>
      </c>
      <c r="I149" t="s">
        <v>52</v>
      </c>
      <c r="J149">
        <v>50</v>
      </c>
      <c r="K149" t="s">
        <v>15</v>
      </c>
      <c r="L149" t="s">
        <v>28</v>
      </c>
    </row>
    <row r="150" spans="1:12" x14ac:dyDescent="0.25">
      <c r="A150">
        <v>1149</v>
      </c>
      <c r="B150" s="1">
        <v>45757</v>
      </c>
      <c r="C150" t="s">
        <v>32</v>
      </c>
      <c r="D150" t="s">
        <v>18</v>
      </c>
      <c r="E150" t="s">
        <v>19</v>
      </c>
      <c r="F150">
        <v>1236.27</v>
      </c>
      <c r="G150">
        <v>2</v>
      </c>
      <c r="H150" s="2">
        <f>Table3[[#This Row],[UnitPrice]]*Table3[Quantity]</f>
        <v>2472.54</v>
      </c>
      <c r="I150" t="s">
        <v>66</v>
      </c>
      <c r="J150">
        <v>30</v>
      </c>
      <c r="K150" t="s">
        <v>21</v>
      </c>
      <c r="L150" t="s">
        <v>22</v>
      </c>
    </row>
    <row r="151" spans="1:12" x14ac:dyDescent="0.25">
      <c r="A151">
        <v>1150</v>
      </c>
      <c r="B151" s="1">
        <v>45993</v>
      </c>
      <c r="C151" t="s">
        <v>11</v>
      </c>
      <c r="D151" t="s">
        <v>12</v>
      </c>
      <c r="E151" t="s">
        <v>13</v>
      </c>
      <c r="F151">
        <v>931.98</v>
      </c>
      <c r="G151">
        <v>5</v>
      </c>
      <c r="H151" s="2">
        <f>Table3[[#This Row],[UnitPrice]]*Table3[Quantity]</f>
        <v>4659.8999999999996</v>
      </c>
      <c r="I151" t="s">
        <v>40</v>
      </c>
      <c r="J151">
        <v>55</v>
      </c>
      <c r="K151" t="s">
        <v>21</v>
      </c>
      <c r="L151" t="s">
        <v>16</v>
      </c>
    </row>
    <row r="152" spans="1:12" x14ac:dyDescent="0.25">
      <c r="A152">
        <v>1151</v>
      </c>
      <c r="B152" s="1">
        <v>45947</v>
      </c>
      <c r="C152" t="s">
        <v>17</v>
      </c>
      <c r="D152" t="s">
        <v>34</v>
      </c>
      <c r="E152" t="s">
        <v>35</v>
      </c>
      <c r="F152">
        <v>745.7</v>
      </c>
      <c r="G152">
        <v>3</v>
      </c>
      <c r="H152" s="2">
        <f>Table3[[#This Row],[UnitPrice]]*Table3[Quantity]</f>
        <v>2237.1000000000004</v>
      </c>
      <c r="I152" t="s">
        <v>77</v>
      </c>
      <c r="J152">
        <v>46</v>
      </c>
      <c r="K152" t="s">
        <v>21</v>
      </c>
      <c r="L152" t="s">
        <v>22</v>
      </c>
    </row>
    <row r="153" spans="1:12" x14ac:dyDescent="0.25">
      <c r="A153">
        <v>1152</v>
      </c>
      <c r="B153" s="1">
        <v>45813</v>
      </c>
      <c r="C153" t="s">
        <v>32</v>
      </c>
      <c r="D153" t="s">
        <v>34</v>
      </c>
      <c r="E153" t="s">
        <v>35</v>
      </c>
      <c r="F153">
        <v>602.92999999999995</v>
      </c>
      <c r="G153">
        <v>3</v>
      </c>
      <c r="H153" s="2">
        <f>Table3[[#This Row],[UnitPrice]]*Table3[Quantity]</f>
        <v>1808.79</v>
      </c>
      <c r="I153" t="s">
        <v>41</v>
      </c>
      <c r="J153">
        <v>46</v>
      </c>
      <c r="K153" t="s">
        <v>21</v>
      </c>
      <c r="L153" t="s">
        <v>22</v>
      </c>
    </row>
    <row r="154" spans="1:12" x14ac:dyDescent="0.25">
      <c r="A154">
        <v>1153</v>
      </c>
      <c r="B154" s="1">
        <v>45804</v>
      </c>
      <c r="C154" t="s">
        <v>11</v>
      </c>
      <c r="D154" t="s">
        <v>34</v>
      </c>
      <c r="E154" t="s">
        <v>35</v>
      </c>
      <c r="F154">
        <v>646</v>
      </c>
      <c r="G154">
        <v>5</v>
      </c>
      <c r="H154" s="2">
        <f>Table3[[#This Row],[UnitPrice]]*Table3[Quantity]</f>
        <v>3230</v>
      </c>
      <c r="I154" t="s">
        <v>71</v>
      </c>
      <c r="J154">
        <v>47</v>
      </c>
      <c r="K154" t="s">
        <v>15</v>
      </c>
      <c r="L154" t="s">
        <v>16</v>
      </c>
    </row>
    <row r="155" spans="1:12" x14ac:dyDescent="0.25">
      <c r="A155">
        <v>1154</v>
      </c>
      <c r="B155" s="1">
        <v>45679</v>
      </c>
      <c r="C155" t="s">
        <v>32</v>
      </c>
      <c r="D155" t="s">
        <v>24</v>
      </c>
      <c r="E155" t="s">
        <v>38</v>
      </c>
      <c r="F155">
        <v>68.67</v>
      </c>
      <c r="G155">
        <v>3</v>
      </c>
      <c r="H155" s="2">
        <f>Table3[[#This Row],[UnitPrice]]*Table3[Quantity]</f>
        <v>206.01</v>
      </c>
      <c r="I155" t="s">
        <v>63</v>
      </c>
      <c r="J155">
        <v>48</v>
      </c>
      <c r="K155" t="s">
        <v>15</v>
      </c>
      <c r="L155" t="s">
        <v>16</v>
      </c>
    </row>
    <row r="156" spans="1:12" x14ac:dyDescent="0.25">
      <c r="A156">
        <v>1155</v>
      </c>
      <c r="B156" s="1">
        <v>45888</v>
      </c>
      <c r="C156" t="s">
        <v>11</v>
      </c>
      <c r="D156" t="s">
        <v>24</v>
      </c>
      <c r="E156" t="s">
        <v>25</v>
      </c>
      <c r="F156">
        <v>98.41</v>
      </c>
      <c r="G156">
        <v>1</v>
      </c>
      <c r="H156" s="2">
        <f>Table3[[#This Row],[UnitPrice]]*Table3[Quantity]</f>
        <v>98.41</v>
      </c>
      <c r="I156" t="s">
        <v>20</v>
      </c>
      <c r="J156">
        <v>59</v>
      </c>
      <c r="K156" t="s">
        <v>21</v>
      </c>
      <c r="L156" t="s">
        <v>22</v>
      </c>
    </row>
    <row r="157" spans="1:12" x14ac:dyDescent="0.25">
      <c r="A157">
        <v>1156</v>
      </c>
      <c r="B157" s="1">
        <v>45882</v>
      </c>
      <c r="C157" t="s">
        <v>32</v>
      </c>
      <c r="D157" t="s">
        <v>18</v>
      </c>
      <c r="E157" t="s">
        <v>19</v>
      </c>
      <c r="F157">
        <v>1363.9</v>
      </c>
      <c r="G157">
        <v>3</v>
      </c>
      <c r="H157" s="2">
        <f>Table3[[#This Row],[UnitPrice]]*Table3[Quantity]</f>
        <v>4091.7000000000003</v>
      </c>
      <c r="I157" t="s">
        <v>71</v>
      </c>
      <c r="J157">
        <v>44</v>
      </c>
      <c r="K157" t="s">
        <v>27</v>
      </c>
      <c r="L157" t="s">
        <v>28</v>
      </c>
    </row>
    <row r="158" spans="1:12" x14ac:dyDescent="0.25">
      <c r="A158">
        <v>1157</v>
      </c>
      <c r="B158" s="1">
        <v>45684</v>
      </c>
      <c r="C158" t="s">
        <v>17</v>
      </c>
      <c r="D158" t="s">
        <v>34</v>
      </c>
      <c r="E158" t="s">
        <v>35</v>
      </c>
      <c r="F158">
        <v>531.88</v>
      </c>
      <c r="G158">
        <v>5</v>
      </c>
      <c r="H158" s="2">
        <f>Table3[[#This Row],[UnitPrice]]*Table3[Quantity]</f>
        <v>2659.4</v>
      </c>
      <c r="I158" t="s">
        <v>55</v>
      </c>
      <c r="J158">
        <v>42</v>
      </c>
      <c r="K158" t="s">
        <v>21</v>
      </c>
      <c r="L158" t="s">
        <v>28</v>
      </c>
    </row>
    <row r="159" spans="1:12" x14ac:dyDescent="0.25">
      <c r="A159">
        <v>1158</v>
      </c>
      <c r="B159" s="1">
        <v>45994</v>
      </c>
      <c r="C159" t="s">
        <v>17</v>
      </c>
      <c r="D159" t="s">
        <v>24</v>
      </c>
      <c r="E159" t="s">
        <v>25</v>
      </c>
      <c r="F159">
        <v>17.34</v>
      </c>
      <c r="G159">
        <v>2</v>
      </c>
      <c r="H159" s="2">
        <f>Table3[[#This Row],[UnitPrice]]*Table3[Quantity]</f>
        <v>34.68</v>
      </c>
      <c r="I159" t="s">
        <v>70</v>
      </c>
      <c r="J159">
        <v>37</v>
      </c>
      <c r="K159" t="s">
        <v>27</v>
      </c>
      <c r="L159" t="s">
        <v>28</v>
      </c>
    </row>
    <row r="160" spans="1:12" x14ac:dyDescent="0.25">
      <c r="A160">
        <v>1159</v>
      </c>
      <c r="B160" s="1">
        <v>45858</v>
      </c>
      <c r="C160" t="s">
        <v>11</v>
      </c>
      <c r="D160" t="s">
        <v>34</v>
      </c>
      <c r="E160" t="s">
        <v>35</v>
      </c>
      <c r="F160">
        <v>523.83000000000004</v>
      </c>
      <c r="G160">
        <v>4</v>
      </c>
      <c r="H160" s="2">
        <f>Table3[[#This Row],[UnitPrice]]*Table3[Quantity]</f>
        <v>2095.3200000000002</v>
      </c>
      <c r="I160" t="s">
        <v>61</v>
      </c>
      <c r="J160">
        <v>39</v>
      </c>
      <c r="K160" t="s">
        <v>27</v>
      </c>
      <c r="L160" t="s">
        <v>28</v>
      </c>
    </row>
    <row r="161" spans="1:12" x14ac:dyDescent="0.25">
      <c r="A161">
        <v>1160</v>
      </c>
      <c r="B161" s="1">
        <v>46008</v>
      </c>
      <c r="C161" t="s">
        <v>17</v>
      </c>
      <c r="D161" t="s">
        <v>12</v>
      </c>
      <c r="E161" t="s">
        <v>13</v>
      </c>
      <c r="F161">
        <v>954.24</v>
      </c>
      <c r="G161">
        <v>1</v>
      </c>
      <c r="H161" s="2">
        <f>Table3[[#This Row],[UnitPrice]]*Table3[Quantity]</f>
        <v>954.24</v>
      </c>
      <c r="I161" t="s">
        <v>75</v>
      </c>
      <c r="J161">
        <v>37</v>
      </c>
      <c r="K161" t="s">
        <v>21</v>
      </c>
      <c r="L161" t="s">
        <v>22</v>
      </c>
    </row>
    <row r="162" spans="1:12" x14ac:dyDescent="0.25">
      <c r="A162">
        <v>1161</v>
      </c>
      <c r="B162" s="1">
        <v>45906</v>
      </c>
      <c r="C162" t="s">
        <v>11</v>
      </c>
      <c r="D162" t="s">
        <v>12</v>
      </c>
      <c r="E162" t="s">
        <v>30</v>
      </c>
      <c r="F162">
        <v>777.47</v>
      </c>
      <c r="G162">
        <v>3</v>
      </c>
      <c r="H162" s="2">
        <f>Table3[[#This Row],[UnitPrice]]*Table3[Quantity]</f>
        <v>2332.41</v>
      </c>
      <c r="I162" t="s">
        <v>26</v>
      </c>
      <c r="J162">
        <v>50</v>
      </c>
      <c r="K162" t="s">
        <v>27</v>
      </c>
      <c r="L162" t="s">
        <v>16</v>
      </c>
    </row>
    <row r="163" spans="1:12" x14ac:dyDescent="0.25">
      <c r="A163">
        <v>1162</v>
      </c>
      <c r="B163" s="1">
        <v>45927</v>
      </c>
      <c r="C163" t="s">
        <v>11</v>
      </c>
      <c r="D163" t="s">
        <v>34</v>
      </c>
      <c r="E163" t="s">
        <v>35</v>
      </c>
      <c r="F163">
        <v>638.9</v>
      </c>
      <c r="G163">
        <v>2</v>
      </c>
      <c r="H163" s="2">
        <f>Table3[[#This Row],[UnitPrice]]*Table3[Quantity]</f>
        <v>1277.8</v>
      </c>
      <c r="I163" t="s">
        <v>36</v>
      </c>
      <c r="J163">
        <v>29</v>
      </c>
      <c r="K163" t="s">
        <v>27</v>
      </c>
      <c r="L163" t="s">
        <v>28</v>
      </c>
    </row>
    <row r="164" spans="1:12" x14ac:dyDescent="0.25">
      <c r="A164">
        <v>1163</v>
      </c>
      <c r="B164" s="1">
        <v>45742</v>
      </c>
      <c r="C164" t="s">
        <v>17</v>
      </c>
      <c r="D164" t="s">
        <v>18</v>
      </c>
      <c r="E164" t="s">
        <v>19</v>
      </c>
      <c r="F164">
        <v>1364.3</v>
      </c>
      <c r="G164">
        <v>2</v>
      </c>
      <c r="H164" s="2">
        <f>Table3[[#This Row],[UnitPrice]]*Table3[Quantity]</f>
        <v>2728.6</v>
      </c>
      <c r="I164" t="s">
        <v>47</v>
      </c>
      <c r="J164">
        <v>57</v>
      </c>
      <c r="K164" t="s">
        <v>21</v>
      </c>
      <c r="L164" t="s">
        <v>28</v>
      </c>
    </row>
    <row r="165" spans="1:12" x14ac:dyDescent="0.25">
      <c r="A165">
        <v>1164</v>
      </c>
      <c r="B165" s="1">
        <v>45887</v>
      </c>
      <c r="C165" t="s">
        <v>11</v>
      </c>
      <c r="D165" t="s">
        <v>18</v>
      </c>
      <c r="E165" t="s">
        <v>19</v>
      </c>
      <c r="F165">
        <v>1965.6</v>
      </c>
      <c r="G165">
        <v>4</v>
      </c>
      <c r="H165" s="2">
        <f>Table3[[#This Row],[UnitPrice]]*Table3[Quantity]</f>
        <v>7862.4</v>
      </c>
      <c r="I165" t="s">
        <v>58</v>
      </c>
      <c r="J165">
        <v>41</v>
      </c>
      <c r="K165" t="s">
        <v>15</v>
      </c>
      <c r="L165" t="s">
        <v>28</v>
      </c>
    </row>
    <row r="166" spans="1:12" x14ac:dyDescent="0.25">
      <c r="A166">
        <v>1165</v>
      </c>
      <c r="B166" s="1">
        <v>45883</v>
      </c>
      <c r="C166" t="s">
        <v>32</v>
      </c>
      <c r="D166" t="s">
        <v>24</v>
      </c>
      <c r="E166" t="s">
        <v>25</v>
      </c>
      <c r="F166">
        <v>55.26</v>
      </c>
      <c r="G166">
        <v>4</v>
      </c>
      <c r="H166" s="2">
        <f>Table3[[#This Row],[UnitPrice]]*Table3[Quantity]</f>
        <v>221.04</v>
      </c>
      <c r="I166" t="s">
        <v>36</v>
      </c>
      <c r="J166">
        <v>30</v>
      </c>
      <c r="K166" t="s">
        <v>27</v>
      </c>
      <c r="L166" t="s">
        <v>22</v>
      </c>
    </row>
    <row r="167" spans="1:12" x14ac:dyDescent="0.25">
      <c r="A167">
        <v>1166</v>
      </c>
      <c r="B167" s="1">
        <v>45786</v>
      </c>
      <c r="C167" t="s">
        <v>11</v>
      </c>
      <c r="D167" t="s">
        <v>34</v>
      </c>
      <c r="E167" t="s">
        <v>35</v>
      </c>
      <c r="F167">
        <v>621.82000000000005</v>
      </c>
      <c r="G167">
        <v>1</v>
      </c>
      <c r="H167" s="2">
        <f>Table3[[#This Row],[UnitPrice]]*Table3[Quantity]</f>
        <v>621.82000000000005</v>
      </c>
      <c r="I167" t="s">
        <v>78</v>
      </c>
      <c r="J167">
        <v>51</v>
      </c>
      <c r="K167" t="s">
        <v>27</v>
      </c>
      <c r="L167" t="s">
        <v>22</v>
      </c>
    </row>
    <row r="168" spans="1:12" x14ac:dyDescent="0.25">
      <c r="A168">
        <v>1167</v>
      </c>
      <c r="B168" s="1">
        <v>45740</v>
      </c>
      <c r="C168" t="s">
        <v>32</v>
      </c>
      <c r="D168" t="s">
        <v>18</v>
      </c>
      <c r="E168" t="s">
        <v>19</v>
      </c>
      <c r="F168">
        <v>1831.05</v>
      </c>
      <c r="G168">
        <v>1</v>
      </c>
      <c r="H168" s="2">
        <f>Table3[[#This Row],[UnitPrice]]*Table3[Quantity]</f>
        <v>1831.05</v>
      </c>
      <c r="I168" t="s">
        <v>37</v>
      </c>
      <c r="J168">
        <v>46</v>
      </c>
      <c r="K168" t="s">
        <v>27</v>
      </c>
      <c r="L168" t="s">
        <v>16</v>
      </c>
    </row>
    <row r="169" spans="1:12" x14ac:dyDescent="0.25">
      <c r="A169">
        <v>1168</v>
      </c>
      <c r="B169" s="1">
        <v>45870</v>
      </c>
      <c r="C169" t="s">
        <v>11</v>
      </c>
      <c r="D169" t="s">
        <v>18</v>
      </c>
      <c r="E169" t="s">
        <v>19</v>
      </c>
      <c r="F169">
        <v>1235.78</v>
      </c>
      <c r="G169">
        <v>1</v>
      </c>
      <c r="H169" s="2">
        <f>Table3[[#This Row],[UnitPrice]]*Table3[Quantity]</f>
        <v>1235.78</v>
      </c>
      <c r="I169" t="s">
        <v>75</v>
      </c>
      <c r="J169">
        <v>32</v>
      </c>
      <c r="K169" t="s">
        <v>21</v>
      </c>
      <c r="L169" t="s">
        <v>16</v>
      </c>
    </row>
    <row r="170" spans="1:12" x14ac:dyDescent="0.25">
      <c r="A170">
        <v>1169</v>
      </c>
      <c r="B170" s="1">
        <v>45990</v>
      </c>
      <c r="C170" t="s">
        <v>32</v>
      </c>
      <c r="D170" t="s">
        <v>24</v>
      </c>
      <c r="E170" t="s">
        <v>43</v>
      </c>
      <c r="F170">
        <v>13.45</v>
      </c>
      <c r="G170">
        <v>4</v>
      </c>
      <c r="H170" s="2">
        <f>Table3[[#This Row],[UnitPrice]]*Table3[Quantity]</f>
        <v>53.8</v>
      </c>
      <c r="I170" t="s">
        <v>74</v>
      </c>
      <c r="J170">
        <v>26</v>
      </c>
      <c r="K170" t="s">
        <v>27</v>
      </c>
      <c r="L170" t="s">
        <v>22</v>
      </c>
    </row>
    <row r="171" spans="1:12" x14ac:dyDescent="0.25">
      <c r="A171">
        <v>1170</v>
      </c>
      <c r="B171" s="1">
        <v>45973</v>
      </c>
      <c r="C171" t="s">
        <v>11</v>
      </c>
      <c r="D171" t="s">
        <v>24</v>
      </c>
      <c r="E171" t="s">
        <v>43</v>
      </c>
      <c r="F171">
        <v>33.03</v>
      </c>
      <c r="G171">
        <v>2</v>
      </c>
      <c r="H171" s="2">
        <f>Table3[[#This Row],[UnitPrice]]*Table3[Quantity]</f>
        <v>66.06</v>
      </c>
      <c r="I171" t="s">
        <v>79</v>
      </c>
      <c r="J171">
        <v>64</v>
      </c>
      <c r="K171" t="s">
        <v>15</v>
      </c>
      <c r="L171" t="s">
        <v>22</v>
      </c>
    </row>
    <row r="172" spans="1:12" x14ac:dyDescent="0.25">
      <c r="A172">
        <v>1171</v>
      </c>
      <c r="B172" s="1">
        <v>45805</v>
      </c>
      <c r="C172" t="s">
        <v>11</v>
      </c>
      <c r="D172" t="s">
        <v>18</v>
      </c>
      <c r="E172" t="s">
        <v>19</v>
      </c>
      <c r="F172">
        <v>1238.44</v>
      </c>
      <c r="G172">
        <v>5</v>
      </c>
      <c r="H172" s="2">
        <f>Table3[[#This Row],[UnitPrice]]*Table3[Quantity]</f>
        <v>6192.2000000000007</v>
      </c>
      <c r="I172" t="s">
        <v>41</v>
      </c>
      <c r="J172">
        <v>22</v>
      </c>
      <c r="K172" t="s">
        <v>21</v>
      </c>
      <c r="L172" t="s">
        <v>16</v>
      </c>
    </row>
    <row r="173" spans="1:12" x14ac:dyDescent="0.25">
      <c r="A173">
        <v>1172</v>
      </c>
      <c r="B173" s="1">
        <v>45963</v>
      </c>
      <c r="C173" t="s">
        <v>17</v>
      </c>
      <c r="D173" t="s">
        <v>12</v>
      </c>
      <c r="E173" t="s">
        <v>30</v>
      </c>
      <c r="F173">
        <v>1059.27</v>
      </c>
      <c r="G173">
        <v>3</v>
      </c>
      <c r="H173" s="2">
        <f>Table3[[#This Row],[UnitPrice]]*Table3[Quantity]</f>
        <v>3177.81</v>
      </c>
      <c r="I173" t="s">
        <v>46</v>
      </c>
      <c r="J173">
        <v>18</v>
      </c>
      <c r="K173" t="s">
        <v>15</v>
      </c>
      <c r="L173" t="s">
        <v>22</v>
      </c>
    </row>
    <row r="174" spans="1:12" x14ac:dyDescent="0.25">
      <c r="A174">
        <v>1173</v>
      </c>
      <c r="B174" s="1">
        <v>45871</v>
      </c>
      <c r="C174" t="s">
        <v>11</v>
      </c>
      <c r="D174" t="s">
        <v>34</v>
      </c>
      <c r="E174" t="s">
        <v>35</v>
      </c>
      <c r="F174">
        <v>609.39</v>
      </c>
      <c r="G174">
        <v>3</v>
      </c>
      <c r="H174" s="2">
        <f>Table3[[#This Row],[UnitPrice]]*Table3[Quantity]</f>
        <v>1828.17</v>
      </c>
      <c r="I174" t="s">
        <v>52</v>
      </c>
      <c r="J174">
        <v>51</v>
      </c>
      <c r="K174" t="s">
        <v>15</v>
      </c>
      <c r="L174" t="s">
        <v>28</v>
      </c>
    </row>
    <row r="175" spans="1:12" x14ac:dyDescent="0.25">
      <c r="A175">
        <v>1174</v>
      </c>
      <c r="B175" s="1">
        <v>45917</v>
      </c>
      <c r="C175" t="s">
        <v>17</v>
      </c>
      <c r="D175" t="s">
        <v>12</v>
      </c>
      <c r="E175" t="s">
        <v>13</v>
      </c>
      <c r="F175">
        <v>721.77</v>
      </c>
      <c r="G175">
        <v>4</v>
      </c>
      <c r="H175" s="2">
        <f>Table3[[#This Row],[UnitPrice]]*Table3[Quantity]</f>
        <v>2887.08</v>
      </c>
      <c r="I175" t="s">
        <v>75</v>
      </c>
      <c r="J175">
        <v>34</v>
      </c>
      <c r="K175" t="s">
        <v>27</v>
      </c>
      <c r="L175" t="s">
        <v>22</v>
      </c>
    </row>
    <row r="176" spans="1:12" x14ac:dyDescent="0.25">
      <c r="A176">
        <v>1175</v>
      </c>
      <c r="B176" s="1">
        <v>45692</v>
      </c>
      <c r="C176" t="s">
        <v>32</v>
      </c>
      <c r="D176" t="s">
        <v>12</v>
      </c>
      <c r="E176" t="s">
        <v>30</v>
      </c>
      <c r="F176">
        <v>1085.75</v>
      </c>
      <c r="G176">
        <v>3</v>
      </c>
      <c r="H176" s="2">
        <f>Table3[[#This Row],[UnitPrice]]*Table3[Quantity]</f>
        <v>3257.25</v>
      </c>
      <c r="I176" t="s">
        <v>64</v>
      </c>
      <c r="J176">
        <v>20</v>
      </c>
      <c r="K176" t="s">
        <v>21</v>
      </c>
      <c r="L176" t="s">
        <v>22</v>
      </c>
    </row>
    <row r="177" spans="1:12" x14ac:dyDescent="0.25">
      <c r="A177">
        <v>1176</v>
      </c>
      <c r="B177" s="1">
        <v>45987</v>
      </c>
      <c r="C177" t="s">
        <v>11</v>
      </c>
      <c r="D177" t="s">
        <v>24</v>
      </c>
      <c r="E177" t="s">
        <v>38</v>
      </c>
      <c r="F177">
        <v>51.82</v>
      </c>
      <c r="G177">
        <v>4</v>
      </c>
      <c r="H177" s="2">
        <f>Table3[[#This Row],[UnitPrice]]*Table3[Quantity]</f>
        <v>207.28</v>
      </c>
      <c r="I177" t="s">
        <v>80</v>
      </c>
      <c r="J177">
        <v>29</v>
      </c>
      <c r="K177" t="s">
        <v>27</v>
      </c>
      <c r="L177" t="s">
        <v>22</v>
      </c>
    </row>
    <row r="178" spans="1:12" x14ac:dyDescent="0.25">
      <c r="A178">
        <v>1177</v>
      </c>
      <c r="B178" s="1">
        <v>45892</v>
      </c>
      <c r="C178" t="s">
        <v>11</v>
      </c>
      <c r="D178" t="s">
        <v>12</v>
      </c>
      <c r="E178" t="s">
        <v>30</v>
      </c>
      <c r="F178">
        <v>1095.55</v>
      </c>
      <c r="G178">
        <v>1</v>
      </c>
      <c r="H178" s="2">
        <f>Table3[[#This Row],[UnitPrice]]*Table3[Quantity]</f>
        <v>1095.55</v>
      </c>
      <c r="I178" t="s">
        <v>59</v>
      </c>
      <c r="J178">
        <v>37</v>
      </c>
      <c r="K178" t="s">
        <v>15</v>
      </c>
      <c r="L178" t="s">
        <v>16</v>
      </c>
    </row>
    <row r="179" spans="1:12" x14ac:dyDescent="0.25">
      <c r="A179">
        <v>1178</v>
      </c>
      <c r="B179" s="1">
        <v>45936</v>
      </c>
      <c r="C179" t="s">
        <v>32</v>
      </c>
      <c r="D179" t="s">
        <v>12</v>
      </c>
      <c r="E179" t="s">
        <v>30</v>
      </c>
      <c r="F179">
        <v>843.06</v>
      </c>
      <c r="G179">
        <v>1</v>
      </c>
      <c r="H179" s="2">
        <f>Table3[[#This Row],[UnitPrice]]*Table3[Quantity]</f>
        <v>843.06</v>
      </c>
      <c r="I179" t="s">
        <v>61</v>
      </c>
      <c r="J179">
        <v>39</v>
      </c>
      <c r="K179" t="s">
        <v>21</v>
      </c>
      <c r="L179" t="s">
        <v>28</v>
      </c>
    </row>
    <row r="180" spans="1:12" x14ac:dyDescent="0.25">
      <c r="A180">
        <v>1179</v>
      </c>
      <c r="B180" s="1">
        <v>45881</v>
      </c>
      <c r="C180" t="s">
        <v>32</v>
      </c>
      <c r="D180" t="s">
        <v>24</v>
      </c>
      <c r="E180" t="s">
        <v>25</v>
      </c>
      <c r="F180">
        <v>40.51</v>
      </c>
      <c r="G180">
        <v>2</v>
      </c>
      <c r="H180" s="2">
        <f>Table3[[#This Row],[UnitPrice]]*Table3[Quantity]</f>
        <v>81.02</v>
      </c>
      <c r="I180" t="s">
        <v>62</v>
      </c>
      <c r="J180">
        <v>62</v>
      </c>
      <c r="K180" t="s">
        <v>21</v>
      </c>
      <c r="L180" t="s">
        <v>16</v>
      </c>
    </row>
    <row r="181" spans="1:12" x14ac:dyDescent="0.25">
      <c r="A181">
        <v>1180</v>
      </c>
      <c r="B181" s="1">
        <v>45923</v>
      </c>
      <c r="C181" t="s">
        <v>32</v>
      </c>
      <c r="D181" t="s">
        <v>24</v>
      </c>
      <c r="E181" t="s">
        <v>38</v>
      </c>
      <c r="F181">
        <v>48.2</v>
      </c>
      <c r="G181">
        <v>4</v>
      </c>
      <c r="H181" s="2">
        <f>Table3[[#This Row],[UnitPrice]]*Table3[Quantity]</f>
        <v>192.8</v>
      </c>
      <c r="I181" t="s">
        <v>63</v>
      </c>
      <c r="J181">
        <v>29</v>
      </c>
      <c r="K181" t="s">
        <v>15</v>
      </c>
      <c r="L181" t="s">
        <v>22</v>
      </c>
    </row>
    <row r="182" spans="1:12" x14ac:dyDescent="0.25">
      <c r="A182">
        <v>1181</v>
      </c>
      <c r="B182" s="1">
        <v>45698</v>
      </c>
      <c r="C182" t="s">
        <v>32</v>
      </c>
      <c r="D182" t="s">
        <v>34</v>
      </c>
      <c r="E182" t="s">
        <v>35</v>
      </c>
      <c r="F182">
        <v>578.37</v>
      </c>
      <c r="G182">
        <v>4</v>
      </c>
      <c r="H182" s="2">
        <f>Table3[[#This Row],[UnitPrice]]*Table3[Quantity]</f>
        <v>2313.48</v>
      </c>
      <c r="I182" t="s">
        <v>36</v>
      </c>
      <c r="J182">
        <v>62</v>
      </c>
      <c r="K182" t="s">
        <v>21</v>
      </c>
      <c r="L182" t="s">
        <v>22</v>
      </c>
    </row>
    <row r="183" spans="1:12" x14ac:dyDescent="0.25">
      <c r="A183">
        <v>1182</v>
      </c>
      <c r="B183" s="1">
        <v>45838</v>
      </c>
      <c r="C183" t="s">
        <v>17</v>
      </c>
      <c r="D183" t="s">
        <v>24</v>
      </c>
      <c r="E183" t="s">
        <v>25</v>
      </c>
      <c r="F183">
        <v>67.55</v>
      </c>
      <c r="G183">
        <v>1</v>
      </c>
      <c r="H183" s="2">
        <f>Table3[[#This Row],[UnitPrice]]*Table3[Quantity]</f>
        <v>67.55</v>
      </c>
      <c r="I183" t="s">
        <v>52</v>
      </c>
      <c r="J183">
        <v>60</v>
      </c>
      <c r="K183" t="s">
        <v>15</v>
      </c>
      <c r="L183" t="s">
        <v>22</v>
      </c>
    </row>
    <row r="184" spans="1:12" x14ac:dyDescent="0.25">
      <c r="A184">
        <v>1183</v>
      </c>
      <c r="B184" s="1">
        <v>46005</v>
      </c>
      <c r="C184" t="s">
        <v>11</v>
      </c>
      <c r="D184" t="s">
        <v>24</v>
      </c>
      <c r="E184" t="s">
        <v>43</v>
      </c>
      <c r="F184">
        <v>86.38</v>
      </c>
      <c r="G184">
        <v>4</v>
      </c>
      <c r="H184" s="2">
        <f>Table3[[#This Row],[UnitPrice]]*Table3[Quantity]</f>
        <v>345.52</v>
      </c>
      <c r="I184" t="s">
        <v>57</v>
      </c>
      <c r="J184">
        <v>26</v>
      </c>
      <c r="K184" t="s">
        <v>21</v>
      </c>
      <c r="L184" t="s">
        <v>28</v>
      </c>
    </row>
    <row r="185" spans="1:12" x14ac:dyDescent="0.25">
      <c r="A185">
        <v>1184</v>
      </c>
      <c r="B185" s="1">
        <v>45845</v>
      </c>
      <c r="C185" t="s">
        <v>32</v>
      </c>
      <c r="D185" t="s">
        <v>18</v>
      </c>
      <c r="E185" t="s">
        <v>19</v>
      </c>
      <c r="F185">
        <v>1605.09</v>
      </c>
      <c r="G185">
        <v>4</v>
      </c>
      <c r="H185" s="2">
        <f>Table3[[#This Row],[UnitPrice]]*Table3[Quantity]</f>
        <v>6420.36</v>
      </c>
      <c r="I185" t="s">
        <v>75</v>
      </c>
      <c r="J185">
        <v>41</v>
      </c>
      <c r="K185" t="s">
        <v>21</v>
      </c>
      <c r="L185" t="s">
        <v>22</v>
      </c>
    </row>
    <row r="186" spans="1:12" x14ac:dyDescent="0.25">
      <c r="A186">
        <v>1185</v>
      </c>
      <c r="B186" s="1">
        <v>45728</v>
      </c>
      <c r="C186" t="s">
        <v>17</v>
      </c>
      <c r="D186" t="s">
        <v>18</v>
      </c>
      <c r="E186" t="s">
        <v>19</v>
      </c>
      <c r="F186">
        <v>1649.56</v>
      </c>
      <c r="G186">
        <v>2</v>
      </c>
      <c r="H186" s="2">
        <f>Table3[[#This Row],[UnitPrice]]*Table3[Quantity]</f>
        <v>3299.12</v>
      </c>
      <c r="I186" t="s">
        <v>44</v>
      </c>
      <c r="J186">
        <v>19</v>
      </c>
      <c r="K186" t="s">
        <v>27</v>
      </c>
      <c r="L186" t="s">
        <v>22</v>
      </c>
    </row>
    <row r="187" spans="1:12" x14ac:dyDescent="0.25">
      <c r="A187">
        <v>1186</v>
      </c>
      <c r="B187" s="1">
        <v>45856</v>
      </c>
      <c r="C187" t="s">
        <v>17</v>
      </c>
      <c r="D187" t="s">
        <v>12</v>
      </c>
      <c r="E187" t="s">
        <v>13</v>
      </c>
      <c r="F187">
        <v>1052.02</v>
      </c>
      <c r="G187">
        <v>2</v>
      </c>
      <c r="H187" s="2">
        <f>Table3[[#This Row],[UnitPrice]]*Table3[Quantity]</f>
        <v>2104.04</v>
      </c>
      <c r="I187" t="s">
        <v>60</v>
      </c>
      <c r="J187">
        <v>36</v>
      </c>
      <c r="K187" t="s">
        <v>15</v>
      </c>
      <c r="L187" t="s">
        <v>16</v>
      </c>
    </row>
    <row r="188" spans="1:12" x14ac:dyDescent="0.25">
      <c r="A188">
        <v>1187</v>
      </c>
      <c r="B188" s="1">
        <v>45760</v>
      </c>
      <c r="C188" t="s">
        <v>11</v>
      </c>
      <c r="D188" t="s">
        <v>12</v>
      </c>
      <c r="E188" t="s">
        <v>30</v>
      </c>
      <c r="F188">
        <v>926.02</v>
      </c>
      <c r="G188">
        <v>4</v>
      </c>
      <c r="H188" s="2">
        <f>Table3[[#This Row],[UnitPrice]]*Table3[Quantity]</f>
        <v>3704.08</v>
      </c>
      <c r="I188" t="s">
        <v>29</v>
      </c>
      <c r="J188">
        <v>61</v>
      </c>
      <c r="K188" t="s">
        <v>27</v>
      </c>
      <c r="L188" t="s">
        <v>16</v>
      </c>
    </row>
    <row r="189" spans="1:12" x14ac:dyDescent="0.25">
      <c r="A189">
        <v>1188</v>
      </c>
      <c r="B189" s="1">
        <v>45999</v>
      </c>
      <c r="C189" t="s">
        <v>32</v>
      </c>
      <c r="D189" t="s">
        <v>24</v>
      </c>
      <c r="E189" t="s">
        <v>38</v>
      </c>
      <c r="F189">
        <v>58.8</v>
      </c>
      <c r="G189">
        <v>3</v>
      </c>
      <c r="H189" s="2">
        <f>Table3[[#This Row],[UnitPrice]]*Table3[Quantity]</f>
        <v>176.39999999999998</v>
      </c>
      <c r="I189" t="s">
        <v>36</v>
      </c>
      <c r="J189">
        <v>63</v>
      </c>
      <c r="K189" t="s">
        <v>27</v>
      </c>
      <c r="L189" t="s">
        <v>28</v>
      </c>
    </row>
    <row r="190" spans="1:12" x14ac:dyDescent="0.25">
      <c r="A190">
        <v>1189</v>
      </c>
      <c r="B190" s="1">
        <v>45747</v>
      </c>
      <c r="C190" t="s">
        <v>32</v>
      </c>
      <c r="D190" t="s">
        <v>18</v>
      </c>
      <c r="E190" t="s">
        <v>19</v>
      </c>
      <c r="F190">
        <v>1985.13</v>
      </c>
      <c r="G190">
        <v>2</v>
      </c>
      <c r="H190" s="2">
        <f>Table3[[#This Row],[UnitPrice]]*Table3[Quantity]</f>
        <v>3970.26</v>
      </c>
      <c r="I190" t="s">
        <v>42</v>
      </c>
      <c r="J190">
        <v>49</v>
      </c>
      <c r="K190" t="s">
        <v>21</v>
      </c>
      <c r="L190" t="s">
        <v>28</v>
      </c>
    </row>
    <row r="191" spans="1:12" x14ac:dyDescent="0.25">
      <c r="A191">
        <v>1190</v>
      </c>
      <c r="B191" s="1">
        <v>45846</v>
      </c>
      <c r="C191" t="s">
        <v>32</v>
      </c>
      <c r="D191" t="s">
        <v>24</v>
      </c>
      <c r="E191" t="s">
        <v>38</v>
      </c>
      <c r="F191">
        <v>21.68</v>
      </c>
      <c r="G191">
        <v>1</v>
      </c>
      <c r="H191" s="2">
        <f>Table3[[#This Row],[UnitPrice]]*Table3[Quantity]</f>
        <v>21.68</v>
      </c>
      <c r="I191" t="s">
        <v>52</v>
      </c>
      <c r="J191">
        <v>37</v>
      </c>
      <c r="K191" t="s">
        <v>21</v>
      </c>
      <c r="L191" t="s">
        <v>28</v>
      </c>
    </row>
    <row r="192" spans="1:12" x14ac:dyDescent="0.25">
      <c r="A192">
        <v>1191</v>
      </c>
      <c r="B192" s="1">
        <v>45903</v>
      </c>
      <c r="C192" t="s">
        <v>17</v>
      </c>
      <c r="D192" t="s">
        <v>18</v>
      </c>
      <c r="E192" t="s">
        <v>19</v>
      </c>
      <c r="F192">
        <v>1823.34</v>
      </c>
      <c r="G192">
        <v>1</v>
      </c>
      <c r="H192" s="2">
        <f>Table3[[#This Row],[UnitPrice]]*Table3[Quantity]</f>
        <v>1823.34</v>
      </c>
      <c r="I192" t="s">
        <v>64</v>
      </c>
      <c r="J192">
        <v>38</v>
      </c>
      <c r="K192" t="s">
        <v>15</v>
      </c>
      <c r="L192" t="s">
        <v>22</v>
      </c>
    </row>
    <row r="193" spans="1:12" x14ac:dyDescent="0.25">
      <c r="A193">
        <v>1192</v>
      </c>
      <c r="B193" s="1">
        <v>46006</v>
      </c>
      <c r="C193" t="s">
        <v>17</v>
      </c>
      <c r="D193" t="s">
        <v>18</v>
      </c>
      <c r="E193" t="s">
        <v>19</v>
      </c>
      <c r="F193">
        <v>1767.78</v>
      </c>
      <c r="G193">
        <v>2</v>
      </c>
      <c r="H193" s="2">
        <f>Table3[[#This Row],[UnitPrice]]*Table3[Quantity]</f>
        <v>3535.56</v>
      </c>
      <c r="I193" t="s">
        <v>46</v>
      </c>
      <c r="J193">
        <v>50</v>
      </c>
      <c r="K193" t="s">
        <v>27</v>
      </c>
      <c r="L193" t="s">
        <v>22</v>
      </c>
    </row>
    <row r="194" spans="1:12" x14ac:dyDescent="0.25">
      <c r="A194">
        <v>1193</v>
      </c>
      <c r="B194" s="1">
        <v>45721</v>
      </c>
      <c r="C194" t="s">
        <v>17</v>
      </c>
      <c r="D194" t="s">
        <v>12</v>
      </c>
      <c r="E194" t="s">
        <v>30</v>
      </c>
      <c r="F194">
        <v>780.98</v>
      </c>
      <c r="G194">
        <v>2</v>
      </c>
      <c r="H194" s="2">
        <f>Table3[[#This Row],[UnitPrice]]*Table3[Quantity]</f>
        <v>1561.96</v>
      </c>
      <c r="I194" t="s">
        <v>70</v>
      </c>
      <c r="J194">
        <v>51</v>
      </c>
      <c r="K194" t="s">
        <v>27</v>
      </c>
      <c r="L194" t="s">
        <v>16</v>
      </c>
    </row>
    <row r="195" spans="1:12" x14ac:dyDescent="0.25">
      <c r="A195">
        <v>1194</v>
      </c>
      <c r="B195" s="1">
        <v>45786</v>
      </c>
      <c r="C195" t="s">
        <v>11</v>
      </c>
      <c r="D195" t="s">
        <v>34</v>
      </c>
      <c r="E195" t="s">
        <v>35</v>
      </c>
      <c r="F195">
        <v>450.07</v>
      </c>
      <c r="G195">
        <v>3</v>
      </c>
      <c r="H195" s="2">
        <f>Table3[[#This Row],[UnitPrice]]*Table3[Quantity]</f>
        <v>1350.21</v>
      </c>
      <c r="I195" t="s">
        <v>60</v>
      </c>
      <c r="J195">
        <v>52</v>
      </c>
      <c r="K195" t="s">
        <v>21</v>
      </c>
      <c r="L195" t="s">
        <v>28</v>
      </c>
    </row>
    <row r="196" spans="1:12" x14ac:dyDescent="0.25">
      <c r="A196">
        <v>1195</v>
      </c>
      <c r="B196" s="1">
        <v>45961</v>
      </c>
      <c r="C196" t="s">
        <v>17</v>
      </c>
      <c r="D196" t="s">
        <v>12</v>
      </c>
      <c r="E196" t="s">
        <v>13</v>
      </c>
      <c r="F196">
        <v>1121.27</v>
      </c>
      <c r="G196">
        <v>5</v>
      </c>
      <c r="H196" s="2">
        <f>Table3[[#This Row],[UnitPrice]]*Table3[Quantity]</f>
        <v>5606.35</v>
      </c>
      <c r="I196" t="s">
        <v>57</v>
      </c>
      <c r="J196">
        <v>19</v>
      </c>
      <c r="K196" t="s">
        <v>21</v>
      </c>
      <c r="L196" t="s">
        <v>16</v>
      </c>
    </row>
    <row r="197" spans="1:12" x14ac:dyDescent="0.25">
      <c r="A197">
        <v>1196</v>
      </c>
      <c r="B197" s="1">
        <v>45953</v>
      </c>
      <c r="C197" t="s">
        <v>32</v>
      </c>
      <c r="D197" t="s">
        <v>34</v>
      </c>
      <c r="E197" t="s">
        <v>35</v>
      </c>
      <c r="F197">
        <v>647.24</v>
      </c>
      <c r="G197">
        <v>1</v>
      </c>
      <c r="H197" s="2">
        <f>Table3[[#This Row],[UnitPrice]]*Table3[Quantity]</f>
        <v>647.24</v>
      </c>
      <c r="I197" t="s">
        <v>62</v>
      </c>
      <c r="J197">
        <v>58</v>
      </c>
      <c r="K197" t="s">
        <v>15</v>
      </c>
      <c r="L197" t="s">
        <v>28</v>
      </c>
    </row>
    <row r="198" spans="1:12" x14ac:dyDescent="0.25">
      <c r="A198">
        <v>1197</v>
      </c>
      <c r="B198" s="1">
        <v>45812</v>
      </c>
      <c r="C198" t="s">
        <v>32</v>
      </c>
      <c r="D198" t="s">
        <v>12</v>
      </c>
      <c r="E198" t="s">
        <v>13</v>
      </c>
      <c r="F198">
        <v>848.72</v>
      </c>
      <c r="G198">
        <v>1</v>
      </c>
      <c r="H198" s="2">
        <f>Table3[[#This Row],[UnitPrice]]*Table3[Quantity]</f>
        <v>848.72</v>
      </c>
      <c r="I198" t="s">
        <v>74</v>
      </c>
      <c r="J198">
        <v>21</v>
      </c>
      <c r="K198" t="s">
        <v>21</v>
      </c>
      <c r="L198" t="s">
        <v>22</v>
      </c>
    </row>
    <row r="199" spans="1:12" x14ac:dyDescent="0.25">
      <c r="A199">
        <v>1198</v>
      </c>
      <c r="B199" s="1">
        <v>45895</v>
      </c>
      <c r="C199" t="s">
        <v>11</v>
      </c>
      <c r="D199" t="s">
        <v>18</v>
      </c>
      <c r="E199" t="s">
        <v>19</v>
      </c>
      <c r="F199">
        <v>1312.58</v>
      </c>
      <c r="G199">
        <v>3</v>
      </c>
      <c r="H199" s="2">
        <f>Table3[[#This Row],[UnitPrice]]*Table3[Quantity]</f>
        <v>3937.74</v>
      </c>
      <c r="I199" t="s">
        <v>45</v>
      </c>
      <c r="J199">
        <v>40</v>
      </c>
      <c r="K199" t="s">
        <v>27</v>
      </c>
      <c r="L199" t="s">
        <v>22</v>
      </c>
    </row>
    <row r="200" spans="1:12" x14ac:dyDescent="0.25">
      <c r="A200">
        <v>1199</v>
      </c>
      <c r="B200" s="1">
        <v>45847</v>
      </c>
      <c r="C200" t="s">
        <v>17</v>
      </c>
      <c r="D200" t="s">
        <v>34</v>
      </c>
      <c r="E200" t="s">
        <v>35</v>
      </c>
      <c r="F200">
        <v>496.7</v>
      </c>
      <c r="G200">
        <v>1</v>
      </c>
      <c r="H200" s="2">
        <f>Table3[[#This Row],[UnitPrice]]*Table3[Quantity]</f>
        <v>496.7</v>
      </c>
      <c r="I200" t="s">
        <v>68</v>
      </c>
      <c r="J200">
        <v>46</v>
      </c>
      <c r="K200" t="s">
        <v>21</v>
      </c>
      <c r="L200" t="s">
        <v>22</v>
      </c>
    </row>
    <row r="201" spans="1:12" x14ac:dyDescent="0.25">
      <c r="A201">
        <v>1200</v>
      </c>
      <c r="B201" s="1">
        <v>45806</v>
      </c>
      <c r="C201" t="s">
        <v>32</v>
      </c>
      <c r="D201" t="s">
        <v>24</v>
      </c>
      <c r="E201" t="s">
        <v>25</v>
      </c>
      <c r="F201">
        <v>32.340000000000003</v>
      </c>
      <c r="G201">
        <v>2</v>
      </c>
      <c r="H201" s="2">
        <f>Table3[[#This Row],[UnitPrice]]*Table3[Quantity]</f>
        <v>64.680000000000007</v>
      </c>
      <c r="I201" t="s">
        <v>59</v>
      </c>
      <c r="J201">
        <v>54</v>
      </c>
      <c r="K201" t="s">
        <v>27</v>
      </c>
      <c r="L201" t="s">
        <v>22</v>
      </c>
    </row>
    <row r="202" spans="1:12" x14ac:dyDescent="0.25">
      <c r="A202">
        <v>1201</v>
      </c>
      <c r="B202" s="1">
        <v>45739</v>
      </c>
      <c r="C202" t="s">
        <v>32</v>
      </c>
      <c r="D202" t="s">
        <v>24</v>
      </c>
      <c r="E202" t="s">
        <v>25</v>
      </c>
      <c r="F202">
        <v>54.89</v>
      </c>
      <c r="G202">
        <v>3</v>
      </c>
      <c r="H202" s="2">
        <f>Table3[[#This Row],[UnitPrice]]*Table3[Quantity]</f>
        <v>164.67000000000002</v>
      </c>
      <c r="I202" t="s">
        <v>62</v>
      </c>
      <c r="J202">
        <v>19</v>
      </c>
      <c r="K202" t="s">
        <v>21</v>
      </c>
      <c r="L202" t="s">
        <v>22</v>
      </c>
    </row>
    <row r="203" spans="1:12" x14ac:dyDescent="0.25">
      <c r="A203">
        <v>1202</v>
      </c>
      <c r="B203" s="1">
        <v>45892</v>
      </c>
      <c r="C203" t="s">
        <v>11</v>
      </c>
      <c r="D203" t="s">
        <v>12</v>
      </c>
      <c r="E203" t="s">
        <v>13</v>
      </c>
      <c r="F203">
        <v>724.33</v>
      </c>
      <c r="G203">
        <v>3</v>
      </c>
      <c r="H203" s="2">
        <f>Table3[[#This Row],[UnitPrice]]*Table3[Quantity]</f>
        <v>2172.9900000000002</v>
      </c>
      <c r="I203" t="s">
        <v>62</v>
      </c>
      <c r="J203">
        <v>56</v>
      </c>
      <c r="K203" t="s">
        <v>27</v>
      </c>
      <c r="L203" t="s">
        <v>28</v>
      </c>
    </row>
    <row r="204" spans="1:12" x14ac:dyDescent="0.25">
      <c r="A204">
        <v>1203</v>
      </c>
      <c r="B204" s="1">
        <v>45898</v>
      </c>
      <c r="C204" t="s">
        <v>32</v>
      </c>
      <c r="D204" t="s">
        <v>18</v>
      </c>
      <c r="E204" t="s">
        <v>19</v>
      </c>
      <c r="F204">
        <v>1430.93</v>
      </c>
      <c r="G204">
        <v>3</v>
      </c>
      <c r="H204" s="2">
        <f>Table3[[#This Row],[UnitPrice]]*Table3[Quantity]</f>
        <v>4292.79</v>
      </c>
      <c r="I204" t="s">
        <v>45</v>
      </c>
      <c r="J204">
        <v>41</v>
      </c>
      <c r="K204" t="s">
        <v>27</v>
      </c>
      <c r="L204" t="s">
        <v>22</v>
      </c>
    </row>
    <row r="205" spans="1:12" x14ac:dyDescent="0.25">
      <c r="A205">
        <v>1204</v>
      </c>
      <c r="B205" s="1">
        <v>45863</v>
      </c>
      <c r="C205" t="s">
        <v>11</v>
      </c>
      <c r="D205" t="s">
        <v>34</v>
      </c>
      <c r="E205" t="s">
        <v>35</v>
      </c>
      <c r="F205">
        <v>545.01</v>
      </c>
      <c r="G205">
        <v>3</v>
      </c>
      <c r="H205" s="2">
        <f>Table3[[#This Row],[UnitPrice]]*Table3[Quantity]</f>
        <v>1635.03</v>
      </c>
      <c r="I205" t="s">
        <v>52</v>
      </c>
      <c r="J205">
        <v>42</v>
      </c>
      <c r="K205" t="s">
        <v>15</v>
      </c>
      <c r="L205" t="s">
        <v>28</v>
      </c>
    </row>
    <row r="206" spans="1:12" x14ac:dyDescent="0.25">
      <c r="A206">
        <v>1205</v>
      </c>
      <c r="B206" s="1">
        <v>45801</v>
      </c>
      <c r="C206" t="s">
        <v>17</v>
      </c>
      <c r="D206" t="s">
        <v>34</v>
      </c>
      <c r="E206" t="s">
        <v>35</v>
      </c>
      <c r="F206">
        <v>451.47</v>
      </c>
      <c r="G206">
        <v>1</v>
      </c>
      <c r="H206" s="2">
        <f>Table3[[#This Row],[UnitPrice]]*Table3[Quantity]</f>
        <v>451.47</v>
      </c>
      <c r="I206" t="s">
        <v>56</v>
      </c>
      <c r="J206">
        <v>41</v>
      </c>
      <c r="K206" t="s">
        <v>27</v>
      </c>
      <c r="L206" t="s">
        <v>22</v>
      </c>
    </row>
    <row r="207" spans="1:12" x14ac:dyDescent="0.25">
      <c r="A207">
        <v>1206</v>
      </c>
      <c r="B207" s="1">
        <v>45845</v>
      </c>
      <c r="C207" t="s">
        <v>11</v>
      </c>
      <c r="D207" t="s">
        <v>12</v>
      </c>
      <c r="E207" t="s">
        <v>13</v>
      </c>
      <c r="F207">
        <v>950.04</v>
      </c>
      <c r="G207">
        <v>1</v>
      </c>
      <c r="H207" s="2">
        <f>Table3[[#This Row],[UnitPrice]]*Table3[Quantity]</f>
        <v>950.04</v>
      </c>
      <c r="I207" t="s">
        <v>57</v>
      </c>
      <c r="J207">
        <v>26</v>
      </c>
      <c r="K207" t="s">
        <v>27</v>
      </c>
      <c r="L207" t="s">
        <v>16</v>
      </c>
    </row>
    <row r="208" spans="1:12" x14ac:dyDescent="0.25">
      <c r="A208">
        <v>1207</v>
      </c>
      <c r="B208" s="1">
        <v>45923</v>
      </c>
      <c r="C208" t="s">
        <v>32</v>
      </c>
      <c r="D208" t="s">
        <v>12</v>
      </c>
      <c r="E208" t="s">
        <v>30</v>
      </c>
      <c r="F208">
        <v>863.98</v>
      </c>
      <c r="G208">
        <v>5</v>
      </c>
      <c r="H208" s="2">
        <f>Table3[[#This Row],[UnitPrice]]*Table3[Quantity]</f>
        <v>4319.8999999999996</v>
      </c>
      <c r="I208" t="s">
        <v>59</v>
      </c>
      <c r="J208">
        <v>28</v>
      </c>
      <c r="K208" t="s">
        <v>21</v>
      </c>
      <c r="L208" t="s">
        <v>28</v>
      </c>
    </row>
    <row r="209" spans="1:12" x14ac:dyDescent="0.25">
      <c r="A209">
        <v>1208</v>
      </c>
      <c r="B209" s="1">
        <v>45811</v>
      </c>
      <c r="C209" t="s">
        <v>17</v>
      </c>
      <c r="D209" t="s">
        <v>18</v>
      </c>
      <c r="E209" t="s">
        <v>19</v>
      </c>
      <c r="F209">
        <v>1708.74</v>
      </c>
      <c r="G209">
        <v>3</v>
      </c>
      <c r="H209" s="2">
        <f>Table3[[#This Row],[UnitPrice]]*Table3[Quantity]</f>
        <v>5126.22</v>
      </c>
      <c r="I209" t="s">
        <v>48</v>
      </c>
      <c r="J209">
        <v>19</v>
      </c>
      <c r="K209" t="s">
        <v>21</v>
      </c>
      <c r="L209" t="s">
        <v>28</v>
      </c>
    </row>
    <row r="210" spans="1:12" x14ac:dyDescent="0.25">
      <c r="A210">
        <v>1209</v>
      </c>
      <c r="B210" s="1">
        <v>45871</v>
      </c>
      <c r="C210" t="s">
        <v>17</v>
      </c>
      <c r="D210" t="s">
        <v>18</v>
      </c>
      <c r="E210" t="s">
        <v>19</v>
      </c>
      <c r="F210">
        <v>1596.91</v>
      </c>
      <c r="G210">
        <v>3</v>
      </c>
      <c r="H210" s="2">
        <f>Table3[[#This Row],[UnitPrice]]*Table3[Quantity]</f>
        <v>4790.7300000000005</v>
      </c>
      <c r="I210" t="s">
        <v>61</v>
      </c>
      <c r="J210">
        <v>55</v>
      </c>
      <c r="K210" t="s">
        <v>15</v>
      </c>
      <c r="L210" t="s">
        <v>28</v>
      </c>
    </row>
    <row r="211" spans="1:12" x14ac:dyDescent="0.25">
      <c r="A211">
        <v>1210</v>
      </c>
      <c r="B211" s="1">
        <v>45956</v>
      </c>
      <c r="C211" t="s">
        <v>32</v>
      </c>
      <c r="D211" t="s">
        <v>12</v>
      </c>
      <c r="E211" t="s">
        <v>13</v>
      </c>
      <c r="F211">
        <v>773.89</v>
      </c>
      <c r="G211">
        <v>2</v>
      </c>
      <c r="H211" s="2">
        <f>Table3[[#This Row],[UnitPrice]]*Table3[Quantity]</f>
        <v>1547.78</v>
      </c>
      <c r="I211" t="s">
        <v>57</v>
      </c>
      <c r="J211">
        <v>54</v>
      </c>
      <c r="K211" t="s">
        <v>27</v>
      </c>
      <c r="L211" t="s">
        <v>22</v>
      </c>
    </row>
    <row r="212" spans="1:12" x14ac:dyDescent="0.25">
      <c r="A212">
        <v>1211</v>
      </c>
      <c r="B212" s="1">
        <v>45667</v>
      </c>
      <c r="C212" t="s">
        <v>32</v>
      </c>
      <c r="D212" t="s">
        <v>18</v>
      </c>
      <c r="E212" t="s">
        <v>19</v>
      </c>
      <c r="F212">
        <v>1412.96</v>
      </c>
      <c r="G212">
        <v>2</v>
      </c>
      <c r="H212" s="2">
        <f>Table3[[#This Row],[UnitPrice]]*Table3[Quantity]</f>
        <v>2825.92</v>
      </c>
      <c r="I212" t="s">
        <v>65</v>
      </c>
      <c r="J212">
        <v>50</v>
      </c>
      <c r="K212" t="s">
        <v>27</v>
      </c>
      <c r="L212" t="s">
        <v>16</v>
      </c>
    </row>
    <row r="213" spans="1:12" x14ac:dyDescent="0.25">
      <c r="A213">
        <v>1212</v>
      </c>
      <c r="B213" s="1">
        <v>45689</v>
      </c>
      <c r="C213" t="s">
        <v>17</v>
      </c>
      <c r="D213" t="s">
        <v>12</v>
      </c>
      <c r="E213" t="s">
        <v>30</v>
      </c>
      <c r="F213">
        <v>980.44</v>
      </c>
      <c r="G213">
        <v>4</v>
      </c>
      <c r="H213" s="2">
        <f>Table3[[#This Row],[UnitPrice]]*Table3[Quantity]</f>
        <v>3921.76</v>
      </c>
      <c r="I213" t="s">
        <v>76</v>
      </c>
      <c r="J213">
        <v>42</v>
      </c>
      <c r="K213" t="s">
        <v>21</v>
      </c>
      <c r="L213" t="s">
        <v>22</v>
      </c>
    </row>
    <row r="214" spans="1:12" x14ac:dyDescent="0.25">
      <c r="A214">
        <v>1213</v>
      </c>
      <c r="B214" s="1">
        <v>45930</v>
      </c>
      <c r="C214" t="s">
        <v>32</v>
      </c>
      <c r="D214" t="s">
        <v>18</v>
      </c>
      <c r="E214" t="s">
        <v>19</v>
      </c>
      <c r="F214">
        <v>1610.08</v>
      </c>
      <c r="G214">
        <v>2</v>
      </c>
      <c r="H214" s="2">
        <f>Table3[[#This Row],[UnitPrice]]*Table3[Quantity]</f>
        <v>3220.16</v>
      </c>
      <c r="I214" t="s">
        <v>42</v>
      </c>
      <c r="J214">
        <v>35</v>
      </c>
      <c r="K214" t="s">
        <v>15</v>
      </c>
      <c r="L214" t="s">
        <v>22</v>
      </c>
    </row>
    <row r="215" spans="1:12" x14ac:dyDescent="0.25">
      <c r="A215">
        <v>1214</v>
      </c>
      <c r="B215" s="1">
        <v>45810</v>
      </c>
      <c r="C215" t="s">
        <v>32</v>
      </c>
      <c r="D215" t="s">
        <v>24</v>
      </c>
      <c r="E215" t="s">
        <v>38</v>
      </c>
      <c r="F215">
        <v>73.45</v>
      </c>
      <c r="G215">
        <v>3</v>
      </c>
      <c r="H215" s="2">
        <f>Table3[[#This Row],[UnitPrice]]*Table3[Quantity]</f>
        <v>220.35000000000002</v>
      </c>
      <c r="I215" t="s">
        <v>48</v>
      </c>
      <c r="J215">
        <v>40</v>
      </c>
      <c r="K215" t="s">
        <v>15</v>
      </c>
      <c r="L215" t="s">
        <v>16</v>
      </c>
    </row>
    <row r="216" spans="1:12" x14ac:dyDescent="0.25">
      <c r="A216">
        <v>1215</v>
      </c>
      <c r="B216" s="1">
        <v>45798</v>
      </c>
      <c r="C216" t="s">
        <v>32</v>
      </c>
      <c r="D216" t="s">
        <v>12</v>
      </c>
      <c r="E216" t="s">
        <v>13</v>
      </c>
      <c r="F216">
        <v>1147.8800000000001</v>
      </c>
      <c r="G216">
        <v>4</v>
      </c>
      <c r="H216" s="2">
        <f>Table3[[#This Row],[UnitPrice]]*Table3[Quantity]</f>
        <v>4591.5200000000004</v>
      </c>
      <c r="I216" t="s">
        <v>70</v>
      </c>
      <c r="J216">
        <v>27</v>
      </c>
      <c r="K216" t="s">
        <v>21</v>
      </c>
      <c r="L216" t="s">
        <v>22</v>
      </c>
    </row>
    <row r="217" spans="1:12" x14ac:dyDescent="0.25">
      <c r="A217">
        <v>1216</v>
      </c>
      <c r="B217" s="1">
        <v>45698</v>
      </c>
      <c r="C217" t="s">
        <v>32</v>
      </c>
      <c r="D217" t="s">
        <v>24</v>
      </c>
      <c r="E217" t="s">
        <v>38</v>
      </c>
      <c r="F217">
        <v>33.08</v>
      </c>
      <c r="G217">
        <v>4</v>
      </c>
      <c r="H217" s="2">
        <f>Table3[[#This Row],[UnitPrice]]*Table3[Quantity]</f>
        <v>132.32</v>
      </c>
      <c r="I217" t="s">
        <v>33</v>
      </c>
      <c r="J217">
        <v>30</v>
      </c>
      <c r="K217" t="s">
        <v>27</v>
      </c>
      <c r="L217" t="s">
        <v>22</v>
      </c>
    </row>
    <row r="218" spans="1:12" x14ac:dyDescent="0.25">
      <c r="A218">
        <v>1217</v>
      </c>
      <c r="B218" s="1">
        <v>45945</v>
      </c>
      <c r="C218" t="s">
        <v>17</v>
      </c>
      <c r="D218" t="s">
        <v>12</v>
      </c>
      <c r="E218" t="s">
        <v>30</v>
      </c>
      <c r="F218">
        <v>1007.84</v>
      </c>
      <c r="G218">
        <v>5</v>
      </c>
      <c r="H218" s="2">
        <f>Table3[[#This Row],[UnitPrice]]*Table3[Quantity]</f>
        <v>5039.2</v>
      </c>
      <c r="I218" t="s">
        <v>42</v>
      </c>
      <c r="J218">
        <v>33</v>
      </c>
      <c r="K218" t="s">
        <v>21</v>
      </c>
      <c r="L218" t="s">
        <v>16</v>
      </c>
    </row>
    <row r="219" spans="1:12" x14ac:dyDescent="0.25">
      <c r="A219">
        <v>1218</v>
      </c>
      <c r="B219" s="1">
        <v>45773</v>
      </c>
      <c r="C219" t="s">
        <v>17</v>
      </c>
      <c r="D219" t="s">
        <v>12</v>
      </c>
      <c r="E219" t="s">
        <v>30</v>
      </c>
      <c r="F219">
        <v>906.65</v>
      </c>
      <c r="G219">
        <v>4</v>
      </c>
      <c r="H219" s="2">
        <f>Table3[[#This Row],[UnitPrice]]*Table3[Quantity]</f>
        <v>3626.6</v>
      </c>
      <c r="I219" t="s">
        <v>26</v>
      </c>
      <c r="J219">
        <v>61</v>
      </c>
      <c r="K219" t="s">
        <v>27</v>
      </c>
      <c r="L219" t="s">
        <v>22</v>
      </c>
    </row>
    <row r="220" spans="1:12" x14ac:dyDescent="0.25">
      <c r="A220">
        <v>1219</v>
      </c>
      <c r="B220" s="1">
        <v>45939</v>
      </c>
      <c r="C220" t="s">
        <v>11</v>
      </c>
      <c r="D220" t="s">
        <v>18</v>
      </c>
      <c r="E220" t="s">
        <v>19</v>
      </c>
      <c r="F220">
        <v>1477.45</v>
      </c>
      <c r="G220">
        <v>2</v>
      </c>
      <c r="H220" s="2">
        <f>Table3[[#This Row],[UnitPrice]]*Table3[Quantity]</f>
        <v>2954.9</v>
      </c>
      <c r="I220" t="s">
        <v>40</v>
      </c>
      <c r="J220">
        <v>36</v>
      </c>
      <c r="K220" t="s">
        <v>21</v>
      </c>
      <c r="L220" t="s">
        <v>28</v>
      </c>
    </row>
    <row r="221" spans="1:12" x14ac:dyDescent="0.25">
      <c r="A221">
        <v>1220</v>
      </c>
      <c r="B221" s="1">
        <v>45703</v>
      </c>
      <c r="C221" t="s">
        <v>17</v>
      </c>
      <c r="D221" t="s">
        <v>34</v>
      </c>
      <c r="E221" t="s">
        <v>35</v>
      </c>
      <c r="F221">
        <v>765.29</v>
      </c>
      <c r="G221">
        <v>2</v>
      </c>
      <c r="H221" s="2">
        <f>Table3[[#This Row],[UnitPrice]]*Table3[Quantity]</f>
        <v>1530.58</v>
      </c>
      <c r="I221" t="s">
        <v>65</v>
      </c>
      <c r="J221">
        <v>29</v>
      </c>
      <c r="K221" t="s">
        <v>27</v>
      </c>
      <c r="L221" t="s">
        <v>22</v>
      </c>
    </row>
    <row r="222" spans="1:12" x14ac:dyDescent="0.25">
      <c r="A222">
        <v>1221</v>
      </c>
      <c r="B222" s="1">
        <v>45861</v>
      </c>
      <c r="C222" t="s">
        <v>32</v>
      </c>
      <c r="D222" t="s">
        <v>12</v>
      </c>
      <c r="E222" t="s">
        <v>13</v>
      </c>
      <c r="F222">
        <v>1138.3699999999999</v>
      </c>
      <c r="G222">
        <v>1</v>
      </c>
      <c r="H222" s="2">
        <f>Table3[[#This Row],[UnitPrice]]*Table3[Quantity]</f>
        <v>1138.3699999999999</v>
      </c>
      <c r="I222" t="s">
        <v>53</v>
      </c>
      <c r="J222">
        <v>54</v>
      </c>
      <c r="K222" t="s">
        <v>15</v>
      </c>
      <c r="L222" t="s">
        <v>16</v>
      </c>
    </row>
    <row r="223" spans="1:12" x14ac:dyDescent="0.25">
      <c r="A223">
        <v>1222</v>
      </c>
      <c r="B223" s="1">
        <v>45829</v>
      </c>
      <c r="C223" t="s">
        <v>32</v>
      </c>
      <c r="D223" t="s">
        <v>18</v>
      </c>
      <c r="E223" t="s">
        <v>19</v>
      </c>
      <c r="F223">
        <v>1889.26</v>
      </c>
      <c r="G223">
        <v>2</v>
      </c>
      <c r="H223" s="2">
        <f>Table3[[#This Row],[UnitPrice]]*Table3[Quantity]</f>
        <v>3778.52</v>
      </c>
      <c r="I223" t="s">
        <v>20</v>
      </c>
      <c r="J223">
        <v>47</v>
      </c>
      <c r="K223" t="s">
        <v>21</v>
      </c>
      <c r="L223" t="s">
        <v>16</v>
      </c>
    </row>
    <row r="224" spans="1:12" x14ac:dyDescent="0.25">
      <c r="A224">
        <v>1223</v>
      </c>
      <c r="B224" s="1">
        <v>45827</v>
      </c>
      <c r="C224" t="s">
        <v>11</v>
      </c>
      <c r="D224" t="s">
        <v>24</v>
      </c>
      <c r="E224" t="s">
        <v>38</v>
      </c>
      <c r="F224">
        <v>33.15</v>
      </c>
      <c r="G224">
        <v>2</v>
      </c>
      <c r="H224" s="2">
        <f>Table3[[#This Row],[UnitPrice]]*Table3[Quantity]</f>
        <v>66.3</v>
      </c>
      <c r="I224" t="s">
        <v>23</v>
      </c>
      <c r="J224">
        <v>65</v>
      </c>
      <c r="K224" t="s">
        <v>21</v>
      </c>
      <c r="L224" t="s">
        <v>22</v>
      </c>
    </row>
    <row r="225" spans="1:12" x14ac:dyDescent="0.25">
      <c r="A225">
        <v>1224</v>
      </c>
      <c r="B225" s="1">
        <v>46003</v>
      </c>
      <c r="C225" t="s">
        <v>11</v>
      </c>
      <c r="D225" t="s">
        <v>12</v>
      </c>
      <c r="E225" t="s">
        <v>13</v>
      </c>
      <c r="F225">
        <v>1113.49</v>
      </c>
      <c r="G225">
        <v>5</v>
      </c>
      <c r="H225" s="2">
        <f>Table3[[#This Row],[UnitPrice]]*Table3[Quantity]</f>
        <v>5567.45</v>
      </c>
      <c r="I225" t="s">
        <v>59</v>
      </c>
      <c r="J225">
        <v>23</v>
      </c>
      <c r="K225" t="s">
        <v>21</v>
      </c>
      <c r="L225" t="s">
        <v>22</v>
      </c>
    </row>
    <row r="226" spans="1:12" x14ac:dyDescent="0.25">
      <c r="A226">
        <v>1225</v>
      </c>
      <c r="B226" s="1">
        <v>45729</v>
      </c>
      <c r="C226" t="s">
        <v>32</v>
      </c>
      <c r="D226" t="s">
        <v>18</v>
      </c>
      <c r="E226" t="s">
        <v>19</v>
      </c>
      <c r="F226">
        <v>1006.83</v>
      </c>
      <c r="G226">
        <v>4</v>
      </c>
      <c r="H226" s="2">
        <f>Table3[[#This Row],[UnitPrice]]*Table3[Quantity]</f>
        <v>4027.32</v>
      </c>
      <c r="I226" t="s">
        <v>42</v>
      </c>
      <c r="J226">
        <v>46</v>
      </c>
      <c r="K226" t="s">
        <v>27</v>
      </c>
      <c r="L226" t="s">
        <v>16</v>
      </c>
    </row>
    <row r="227" spans="1:12" x14ac:dyDescent="0.25">
      <c r="A227">
        <v>1226</v>
      </c>
      <c r="B227" s="1">
        <v>45812</v>
      </c>
      <c r="C227" t="s">
        <v>17</v>
      </c>
      <c r="D227" t="s">
        <v>24</v>
      </c>
      <c r="E227" t="s">
        <v>43</v>
      </c>
      <c r="F227">
        <v>33.54</v>
      </c>
      <c r="G227">
        <v>3</v>
      </c>
      <c r="H227" s="2">
        <f>Table3[[#This Row],[UnitPrice]]*Table3[Quantity]</f>
        <v>100.62</v>
      </c>
      <c r="I227" t="s">
        <v>74</v>
      </c>
      <c r="J227">
        <v>33</v>
      </c>
      <c r="K227" t="s">
        <v>21</v>
      </c>
      <c r="L227" t="s">
        <v>22</v>
      </c>
    </row>
    <row r="228" spans="1:12" x14ac:dyDescent="0.25">
      <c r="A228">
        <v>1227</v>
      </c>
      <c r="B228" s="1">
        <v>45815</v>
      </c>
      <c r="C228" t="s">
        <v>11</v>
      </c>
      <c r="D228" t="s">
        <v>18</v>
      </c>
      <c r="E228" t="s">
        <v>19</v>
      </c>
      <c r="F228">
        <v>1690.29</v>
      </c>
      <c r="G228">
        <v>3</v>
      </c>
      <c r="H228" s="2">
        <f>Table3[[#This Row],[UnitPrice]]*Table3[Quantity]</f>
        <v>5070.87</v>
      </c>
      <c r="I228" t="s">
        <v>75</v>
      </c>
      <c r="J228">
        <v>57</v>
      </c>
      <c r="K228" t="s">
        <v>21</v>
      </c>
      <c r="L228" t="s">
        <v>16</v>
      </c>
    </row>
    <row r="229" spans="1:12" x14ac:dyDescent="0.25">
      <c r="A229">
        <v>1228</v>
      </c>
      <c r="B229" s="1">
        <v>45902</v>
      </c>
      <c r="C229" t="s">
        <v>11</v>
      </c>
      <c r="D229" t="s">
        <v>18</v>
      </c>
      <c r="E229" t="s">
        <v>19</v>
      </c>
      <c r="F229">
        <v>1415.85</v>
      </c>
      <c r="G229">
        <v>5</v>
      </c>
      <c r="H229" s="2">
        <f>Table3[[#This Row],[UnitPrice]]*Table3[Quantity]</f>
        <v>7079.25</v>
      </c>
      <c r="I229" t="s">
        <v>48</v>
      </c>
      <c r="J229">
        <v>52</v>
      </c>
      <c r="K229" t="s">
        <v>27</v>
      </c>
      <c r="L229" t="s">
        <v>16</v>
      </c>
    </row>
    <row r="230" spans="1:12" x14ac:dyDescent="0.25">
      <c r="A230">
        <v>1229</v>
      </c>
      <c r="B230" s="1">
        <v>45784</v>
      </c>
      <c r="C230" t="s">
        <v>17</v>
      </c>
      <c r="D230" t="s">
        <v>24</v>
      </c>
      <c r="E230" t="s">
        <v>43</v>
      </c>
      <c r="F230">
        <v>57.3</v>
      </c>
      <c r="G230">
        <v>5</v>
      </c>
      <c r="H230" s="2">
        <f>Table3[[#This Row],[UnitPrice]]*Table3[Quantity]</f>
        <v>286.5</v>
      </c>
      <c r="I230" t="s">
        <v>78</v>
      </c>
      <c r="J230">
        <v>41</v>
      </c>
      <c r="K230" t="s">
        <v>21</v>
      </c>
      <c r="L230" t="s">
        <v>28</v>
      </c>
    </row>
    <row r="231" spans="1:12" x14ac:dyDescent="0.25">
      <c r="A231">
        <v>1230</v>
      </c>
      <c r="B231" s="1">
        <v>45689</v>
      </c>
      <c r="C231" t="s">
        <v>17</v>
      </c>
      <c r="D231" t="s">
        <v>24</v>
      </c>
      <c r="E231" t="s">
        <v>43</v>
      </c>
      <c r="F231">
        <v>61.54</v>
      </c>
      <c r="G231">
        <v>2</v>
      </c>
      <c r="H231" s="2">
        <f>Table3[[#This Row],[UnitPrice]]*Table3[Quantity]</f>
        <v>123.08</v>
      </c>
      <c r="I231" t="s">
        <v>36</v>
      </c>
      <c r="J231">
        <v>38</v>
      </c>
      <c r="K231" t="s">
        <v>27</v>
      </c>
      <c r="L231" t="s">
        <v>22</v>
      </c>
    </row>
    <row r="232" spans="1:12" x14ac:dyDescent="0.25">
      <c r="A232">
        <v>1231</v>
      </c>
      <c r="B232" s="1">
        <v>46006</v>
      </c>
      <c r="C232" t="s">
        <v>11</v>
      </c>
      <c r="D232" t="s">
        <v>24</v>
      </c>
      <c r="E232" t="s">
        <v>25</v>
      </c>
      <c r="F232">
        <v>18.18</v>
      </c>
      <c r="G232">
        <v>5</v>
      </c>
      <c r="H232" s="2">
        <f>Table3[[#This Row],[UnitPrice]]*Table3[Quantity]</f>
        <v>90.9</v>
      </c>
      <c r="I232" t="s">
        <v>47</v>
      </c>
      <c r="J232">
        <v>21</v>
      </c>
      <c r="K232" t="s">
        <v>21</v>
      </c>
      <c r="L232" t="s">
        <v>28</v>
      </c>
    </row>
    <row r="233" spans="1:12" x14ac:dyDescent="0.25">
      <c r="A233">
        <v>1232</v>
      </c>
      <c r="B233" s="1">
        <v>45891</v>
      </c>
      <c r="C233" t="s">
        <v>17</v>
      </c>
      <c r="D233" t="s">
        <v>12</v>
      </c>
      <c r="E233" t="s">
        <v>13</v>
      </c>
      <c r="F233">
        <v>1036.3800000000001</v>
      </c>
      <c r="G233">
        <v>3</v>
      </c>
      <c r="H233" s="2">
        <f>Table3[[#This Row],[UnitPrice]]*Table3[Quantity]</f>
        <v>3109.1400000000003</v>
      </c>
      <c r="I233" t="s">
        <v>45</v>
      </c>
      <c r="J233">
        <v>19</v>
      </c>
      <c r="K233" t="s">
        <v>21</v>
      </c>
      <c r="L233" t="s">
        <v>16</v>
      </c>
    </row>
    <row r="234" spans="1:12" x14ac:dyDescent="0.25">
      <c r="A234">
        <v>1233</v>
      </c>
      <c r="B234" s="1">
        <v>45769</v>
      </c>
      <c r="C234" t="s">
        <v>17</v>
      </c>
      <c r="D234" t="s">
        <v>12</v>
      </c>
      <c r="E234" t="s">
        <v>13</v>
      </c>
      <c r="F234">
        <v>872.26</v>
      </c>
      <c r="G234">
        <v>1</v>
      </c>
      <c r="H234" s="2">
        <f>Table3[[#This Row],[UnitPrice]]*Table3[Quantity]</f>
        <v>872.26</v>
      </c>
      <c r="I234" t="s">
        <v>39</v>
      </c>
      <c r="J234">
        <v>21</v>
      </c>
      <c r="K234" t="s">
        <v>27</v>
      </c>
      <c r="L234" t="s">
        <v>22</v>
      </c>
    </row>
    <row r="235" spans="1:12" x14ac:dyDescent="0.25">
      <c r="A235">
        <v>1234</v>
      </c>
      <c r="B235" s="1">
        <v>45899</v>
      </c>
      <c r="C235" t="s">
        <v>11</v>
      </c>
      <c r="D235" t="s">
        <v>12</v>
      </c>
      <c r="E235" t="s">
        <v>30</v>
      </c>
      <c r="F235">
        <v>1084.49</v>
      </c>
      <c r="G235">
        <v>4</v>
      </c>
      <c r="H235" s="2">
        <f>Table3[[#This Row],[UnitPrice]]*Table3[Quantity]</f>
        <v>4337.96</v>
      </c>
      <c r="I235" t="s">
        <v>75</v>
      </c>
      <c r="J235">
        <v>42</v>
      </c>
      <c r="K235" t="s">
        <v>21</v>
      </c>
      <c r="L235" t="s">
        <v>16</v>
      </c>
    </row>
    <row r="236" spans="1:12" x14ac:dyDescent="0.25">
      <c r="A236">
        <v>1235</v>
      </c>
      <c r="B236" s="1">
        <v>45851</v>
      </c>
      <c r="C236" t="s">
        <v>32</v>
      </c>
      <c r="D236" t="s">
        <v>12</v>
      </c>
      <c r="E236" t="s">
        <v>30</v>
      </c>
      <c r="F236">
        <v>1026.77</v>
      </c>
      <c r="G236">
        <v>3</v>
      </c>
      <c r="H236" s="2">
        <f>Table3[[#This Row],[UnitPrice]]*Table3[Quantity]</f>
        <v>3080.31</v>
      </c>
      <c r="I236" t="s">
        <v>44</v>
      </c>
      <c r="J236">
        <v>29</v>
      </c>
      <c r="K236" t="s">
        <v>27</v>
      </c>
      <c r="L236" t="s">
        <v>22</v>
      </c>
    </row>
    <row r="237" spans="1:12" x14ac:dyDescent="0.25">
      <c r="A237">
        <v>1236</v>
      </c>
      <c r="B237" s="1">
        <v>45723</v>
      </c>
      <c r="C237" t="s">
        <v>17</v>
      </c>
      <c r="D237" t="s">
        <v>24</v>
      </c>
      <c r="E237" t="s">
        <v>43</v>
      </c>
      <c r="F237">
        <v>78.06</v>
      </c>
      <c r="G237">
        <v>3</v>
      </c>
      <c r="H237" s="2">
        <f>Table3[[#This Row],[UnitPrice]]*Table3[Quantity]</f>
        <v>234.18</v>
      </c>
      <c r="I237" t="s">
        <v>41</v>
      </c>
      <c r="J237">
        <v>61</v>
      </c>
      <c r="K237" t="s">
        <v>27</v>
      </c>
      <c r="L237" t="s">
        <v>22</v>
      </c>
    </row>
    <row r="238" spans="1:12" x14ac:dyDescent="0.25">
      <c r="A238">
        <v>1237</v>
      </c>
      <c r="B238" s="1">
        <v>45852</v>
      </c>
      <c r="C238" t="s">
        <v>11</v>
      </c>
      <c r="D238" t="s">
        <v>12</v>
      </c>
      <c r="E238" t="s">
        <v>13</v>
      </c>
      <c r="F238">
        <v>777.56</v>
      </c>
      <c r="G238">
        <v>2</v>
      </c>
      <c r="H238" s="2">
        <f>Table3[[#This Row],[UnitPrice]]*Table3[Quantity]</f>
        <v>1555.12</v>
      </c>
      <c r="I238" t="s">
        <v>45</v>
      </c>
      <c r="J238">
        <v>25</v>
      </c>
      <c r="K238" t="s">
        <v>21</v>
      </c>
      <c r="L238" t="s">
        <v>28</v>
      </c>
    </row>
    <row r="239" spans="1:12" x14ac:dyDescent="0.25">
      <c r="A239">
        <v>1238</v>
      </c>
      <c r="B239" s="1">
        <v>45972</v>
      </c>
      <c r="C239" t="s">
        <v>11</v>
      </c>
      <c r="D239" t="s">
        <v>12</v>
      </c>
      <c r="E239" t="s">
        <v>30</v>
      </c>
      <c r="F239">
        <v>750.45</v>
      </c>
      <c r="G239">
        <v>1</v>
      </c>
      <c r="H239" s="2">
        <f>Table3[[#This Row],[UnitPrice]]*Table3[Quantity]</f>
        <v>750.45</v>
      </c>
      <c r="I239" t="s">
        <v>47</v>
      </c>
      <c r="J239">
        <v>56</v>
      </c>
      <c r="K239" t="s">
        <v>15</v>
      </c>
      <c r="L239" t="s">
        <v>16</v>
      </c>
    </row>
    <row r="240" spans="1:12" x14ac:dyDescent="0.25">
      <c r="A240">
        <v>1239</v>
      </c>
      <c r="B240" s="1">
        <v>45783</v>
      </c>
      <c r="C240" t="s">
        <v>17</v>
      </c>
      <c r="D240" t="s">
        <v>12</v>
      </c>
      <c r="E240" t="s">
        <v>13</v>
      </c>
      <c r="F240">
        <v>817.17</v>
      </c>
      <c r="G240">
        <v>2</v>
      </c>
      <c r="H240" s="2">
        <f>Table3[[#This Row],[UnitPrice]]*Table3[Quantity]</f>
        <v>1634.34</v>
      </c>
      <c r="I240" t="s">
        <v>40</v>
      </c>
      <c r="J240">
        <v>21</v>
      </c>
      <c r="K240" t="s">
        <v>21</v>
      </c>
      <c r="L240" t="s">
        <v>16</v>
      </c>
    </row>
    <row r="241" spans="1:12" x14ac:dyDescent="0.25">
      <c r="A241">
        <v>1240</v>
      </c>
      <c r="B241" s="1">
        <v>45777</v>
      </c>
      <c r="C241" t="s">
        <v>17</v>
      </c>
      <c r="D241" t="s">
        <v>34</v>
      </c>
      <c r="E241" t="s">
        <v>35</v>
      </c>
      <c r="F241">
        <v>494.76</v>
      </c>
      <c r="G241">
        <v>2</v>
      </c>
      <c r="H241" s="2">
        <f>Table3[[#This Row],[UnitPrice]]*Table3[Quantity]</f>
        <v>989.52</v>
      </c>
      <c r="I241" t="s">
        <v>51</v>
      </c>
      <c r="J241">
        <v>51</v>
      </c>
      <c r="K241" t="s">
        <v>21</v>
      </c>
      <c r="L241" t="s">
        <v>22</v>
      </c>
    </row>
    <row r="242" spans="1:12" x14ac:dyDescent="0.25">
      <c r="A242">
        <v>1241</v>
      </c>
      <c r="B242" s="1">
        <v>45689</v>
      </c>
      <c r="C242" t="s">
        <v>17</v>
      </c>
      <c r="D242" t="s">
        <v>24</v>
      </c>
      <c r="E242" t="s">
        <v>38</v>
      </c>
      <c r="F242">
        <v>92.04</v>
      </c>
      <c r="G242">
        <v>4</v>
      </c>
      <c r="H242" s="2">
        <f>Table3[[#This Row],[UnitPrice]]*Table3[Quantity]</f>
        <v>368.16</v>
      </c>
      <c r="I242" t="s">
        <v>79</v>
      </c>
      <c r="J242">
        <v>49</v>
      </c>
      <c r="K242" t="s">
        <v>21</v>
      </c>
      <c r="L242" t="s">
        <v>22</v>
      </c>
    </row>
    <row r="243" spans="1:12" x14ac:dyDescent="0.25">
      <c r="A243">
        <v>1242</v>
      </c>
      <c r="B243" s="1">
        <v>45987</v>
      </c>
      <c r="C243" t="s">
        <v>17</v>
      </c>
      <c r="D243" t="s">
        <v>18</v>
      </c>
      <c r="E243" t="s">
        <v>19</v>
      </c>
      <c r="F243">
        <v>1696.31</v>
      </c>
      <c r="G243">
        <v>4</v>
      </c>
      <c r="H243" s="2">
        <f>Table3[[#This Row],[UnitPrice]]*Table3[Quantity]</f>
        <v>6785.24</v>
      </c>
      <c r="I243" t="s">
        <v>77</v>
      </c>
      <c r="J243">
        <v>37</v>
      </c>
      <c r="K243" t="s">
        <v>21</v>
      </c>
      <c r="L243" t="s">
        <v>28</v>
      </c>
    </row>
    <row r="244" spans="1:12" x14ac:dyDescent="0.25">
      <c r="A244">
        <v>1243</v>
      </c>
      <c r="B244" s="1">
        <v>45900</v>
      </c>
      <c r="C244" t="s">
        <v>11</v>
      </c>
      <c r="D244" t="s">
        <v>24</v>
      </c>
      <c r="E244" t="s">
        <v>25</v>
      </c>
      <c r="F244">
        <v>87.18</v>
      </c>
      <c r="G244">
        <v>2</v>
      </c>
      <c r="H244" s="2">
        <f>Table3[[#This Row],[UnitPrice]]*Table3[Quantity]</f>
        <v>174.36</v>
      </c>
      <c r="I244" t="s">
        <v>41</v>
      </c>
      <c r="J244">
        <v>21</v>
      </c>
      <c r="K244" t="s">
        <v>15</v>
      </c>
      <c r="L244" t="s">
        <v>16</v>
      </c>
    </row>
    <row r="245" spans="1:12" x14ac:dyDescent="0.25">
      <c r="A245">
        <v>1244</v>
      </c>
      <c r="B245" s="1">
        <v>45943</v>
      </c>
      <c r="C245" t="s">
        <v>17</v>
      </c>
      <c r="D245" t="s">
        <v>12</v>
      </c>
      <c r="E245" t="s">
        <v>30</v>
      </c>
      <c r="F245">
        <v>827.5</v>
      </c>
      <c r="G245">
        <v>3</v>
      </c>
      <c r="H245" s="2">
        <f>Table3[[#This Row],[UnitPrice]]*Table3[Quantity]</f>
        <v>2482.5</v>
      </c>
      <c r="I245" t="s">
        <v>61</v>
      </c>
      <c r="J245">
        <v>23</v>
      </c>
      <c r="K245" t="s">
        <v>27</v>
      </c>
      <c r="L245" t="s">
        <v>16</v>
      </c>
    </row>
    <row r="246" spans="1:12" x14ac:dyDescent="0.25">
      <c r="A246">
        <v>1245</v>
      </c>
      <c r="B246" s="1">
        <v>45705</v>
      </c>
      <c r="C246" t="s">
        <v>17</v>
      </c>
      <c r="D246" t="s">
        <v>24</v>
      </c>
      <c r="E246" t="s">
        <v>43</v>
      </c>
      <c r="F246">
        <v>14.64</v>
      </c>
      <c r="G246">
        <v>4</v>
      </c>
      <c r="H246" s="2">
        <f>Table3[[#This Row],[UnitPrice]]*Table3[Quantity]</f>
        <v>58.56</v>
      </c>
      <c r="I246" t="s">
        <v>55</v>
      </c>
      <c r="J246">
        <v>56</v>
      </c>
      <c r="K246" t="s">
        <v>15</v>
      </c>
      <c r="L246" t="s">
        <v>16</v>
      </c>
    </row>
    <row r="247" spans="1:12" x14ac:dyDescent="0.25">
      <c r="A247">
        <v>1246</v>
      </c>
      <c r="B247" s="1">
        <v>45754</v>
      </c>
      <c r="C247" t="s">
        <v>17</v>
      </c>
      <c r="D247" t="s">
        <v>24</v>
      </c>
      <c r="E247" t="s">
        <v>38</v>
      </c>
      <c r="F247">
        <v>29.53</v>
      </c>
      <c r="G247">
        <v>2</v>
      </c>
      <c r="H247" s="2">
        <f>Table3[[#This Row],[UnitPrice]]*Table3[Quantity]</f>
        <v>59.06</v>
      </c>
      <c r="I247" t="s">
        <v>72</v>
      </c>
      <c r="J247">
        <v>37</v>
      </c>
      <c r="K247" t="s">
        <v>27</v>
      </c>
      <c r="L247" t="s">
        <v>22</v>
      </c>
    </row>
    <row r="248" spans="1:12" x14ac:dyDescent="0.25">
      <c r="A248">
        <v>1247</v>
      </c>
      <c r="B248" s="1">
        <v>45755</v>
      </c>
      <c r="C248" t="s">
        <v>17</v>
      </c>
      <c r="D248" t="s">
        <v>12</v>
      </c>
      <c r="E248" t="s">
        <v>13</v>
      </c>
      <c r="F248">
        <v>1157.22</v>
      </c>
      <c r="G248">
        <v>5</v>
      </c>
      <c r="H248" s="2">
        <f>Table3[[#This Row],[UnitPrice]]*Table3[Quantity]</f>
        <v>5786.1</v>
      </c>
      <c r="I248" t="s">
        <v>78</v>
      </c>
      <c r="J248">
        <v>31</v>
      </c>
      <c r="K248" t="s">
        <v>21</v>
      </c>
      <c r="L248" t="s">
        <v>22</v>
      </c>
    </row>
    <row r="249" spans="1:12" x14ac:dyDescent="0.25">
      <c r="A249">
        <v>1248</v>
      </c>
      <c r="B249" s="1">
        <v>45822</v>
      </c>
      <c r="C249" t="s">
        <v>32</v>
      </c>
      <c r="D249" t="s">
        <v>18</v>
      </c>
      <c r="E249" t="s">
        <v>19</v>
      </c>
      <c r="F249">
        <v>1308.42</v>
      </c>
      <c r="G249">
        <v>3</v>
      </c>
      <c r="H249" s="2">
        <f>Table3[[#This Row],[UnitPrice]]*Table3[Quantity]</f>
        <v>3925.26</v>
      </c>
      <c r="I249" t="s">
        <v>20</v>
      </c>
      <c r="J249">
        <v>49</v>
      </c>
      <c r="K249" t="s">
        <v>21</v>
      </c>
      <c r="L249" t="s">
        <v>16</v>
      </c>
    </row>
    <row r="250" spans="1:12" x14ac:dyDescent="0.25">
      <c r="A250">
        <v>1249</v>
      </c>
      <c r="B250" s="1">
        <v>45898</v>
      </c>
      <c r="C250" t="s">
        <v>32</v>
      </c>
      <c r="D250" t="s">
        <v>24</v>
      </c>
      <c r="E250" t="s">
        <v>25</v>
      </c>
      <c r="F250">
        <v>38.159999999999997</v>
      </c>
      <c r="G250">
        <v>1</v>
      </c>
      <c r="H250" s="2">
        <f>Table3[[#This Row],[UnitPrice]]*Table3[Quantity]</f>
        <v>38.159999999999997</v>
      </c>
      <c r="I250" t="s">
        <v>67</v>
      </c>
      <c r="J250">
        <v>32</v>
      </c>
      <c r="K250" t="s">
        <v>27</v>
      </c>
      <c r="L250" t="s">
        <v>22</v>
      </c>
    </row>
    <row r="251" spans="1:12" x14ac:dyDescent="0.25">
      <c r="A251">
        <v>1250</v>
      </c>
      <c r="B251" s="1">
        <v>45941</v>
      </c>
      <c r="C251" t="s">
        <v>17</v>
      </c>
      <c r="D251" t="s">
        <v>34</v>
      </c>
      <c r="E251" t="s">
        <v>35</v>
      </c>
      <c r="F251">
        <v>518.08000000000004</v>
      </c>
      <c r="G251">
        <v>2</v>
      </c>
      <c r="H251" s="2">
        <f>Table3[[#This Row],[UnitPrice]]*Table3[Quantity]</f>
        <v>1036.1600000000001</v>
      </c>
      <c r="I251" t="s">
        <v>72</v>
      </c>
      <c r="J251">
        <v>32</v>
      </c>
      <c r="K251" t="s">
        <v>21</v>
      </c>
      <c r="L251" t="s">
        <v>16</v>
      </c>
    </row>
    <row r="252" spans="1:12" x14ac:dyDescent="0.25">
      <c r="A252">
        <v>1251</v>
      </c>
      <c r="B252" s="1">
        <v>45913</v>
      </c>
      <c r="C252" t="s">
        <v>17</v>
      </c>
      <c r="D252" t="s">
        <v>34</v>
      </c>
      <c r="E252" t="s">
        <v>35</v>
      </c>
      <c r="F252">
        <v>502.93</v>
      </c>
      <c r="G252">
        <v>4</v>
      </c>
      <c r="H252" s="2">
        <f>Table3[[#This Row],[UnitPrice]]*Table3[Quantity]</f>
        <v>2011.72</v>
      </c>
      <c r="I252" t="s">
        <v>45</v>
      </c>
      <c r="J252">
        <v>59</v>
      </c>
      <c r="K252" t="s">
        <v>27</v>
      </c>
      <c r="L252" t="s">
        <v>22</v>
      </c>
    </row>
    <row r="253" spans="1:12" x14ac:dyDescent="0.25">
      <c r="A253">
        <v>1252</v>
      </c>
      <c r="B253" s="1">
        <v>45838</v>
      </c>
      <c r="C253" t="s">
        <v>11</v>
      </c>
      <c r="D253" t="s">
        <v>12</v>
      </c>
      <c r="E253" t="s">
        <v>13</v>
      </c>
      <c r="F253">
        <v>792.02</v>
      </c>
      <c r="G253">
        <v>5</v>
      </c>
      <c r="H253" s="2">
        <f>Table3[[#This Row],[UnitPrice]]*Table3[Quantity]</f>
        <v>3960.1</v>
      </c>
      <c r="I253" t="s">
        <v>61</v>
      </c>
      <c r="J253">
        <v>21</v>
      </c>
      <c r="K253" t="s">
        <v>15</v>
      </c>
      <c r="L253" t="s">
        <v>16</v>
      </c>
    </row>
    <row r="254" spans="1:12" x14ac:dyDescent="0.25">
      <c r="A254">
        <v>1253</v>
      </c>
      <c r="B254" s="1">
        <v>45696</v>
      </c>
      <c r="C254" t="s">
        <v>17</v>
      </c>
      <c r="D254" t="s">
        <v>12</v>
      </c>
      <c r="E254" t="s">
        <v>30</v>
      </c>
      <c r="F254">
        <v>906.2</v>
      </c>
      <c r="G254">
        <v>2</v>
      </c>
      <c r="H254" s="2">
        <f>Table3[[#This Row],[UnitPrice]]*Table3[Quantity]</f>
        <v>1812.4</v>
      </c>
      <c r="I254" t="s">
        <v>52</v>
      </c>
      <c r="J254">
        <v>63</v>
      </c>
      <c r="K254" t="s">
        <v>21</v>
      </c>
      <c r="L254" t="s">
        <v>22</v>
      </c>
    </row>
    <row r="255" spans="1:12" x14ac:dyDescent="0.25">
      <c r="A255">
        <v>1254</v>
      </c>
      <c r="B255" s="1">
        <v>45891</v>
      </c>
      <c r="C255" t="s">
        <v>32</v>
      </c>
      <c r="D255" t="s">
        <v>12</v>
      </c>
      <c r="E255" t="s">
        <v>13</v>
      </c>
      <c r="F255">
        <v>1029.6400000000001</v>
      </c>
      <c r="G255">
        <v>1</v>
      </c>
      <c r="H255" s="2">
        <f>Table3[[#This Row],[UnitPrice]]*Table3[Quantity]</f>
        <v>1029.6400000000001</v>
      </c>
      <c r="I255" t="s">
        <v>23</v>
      </c>
      <c r="J255">
        <v>52</v>
      </c>
      <c r="K255" t="s">
        <v>15</v>
      </c>
      <c r="L255" t="s">
        <v>22</v>
      </c>
    </row>
    <row r="256" spans="1:12" x14ac:dyDescent="0.25">
      <c r="A256">
        <v>1255</v>
      </c>
      <c r="B256" s="1">
        <v>45929</v>
      </c>
      <c r="C256" t="s">
        <v>17</v>
      </c>
      <c r="D256" t="s">
        <v>12</v>
      </c>
      <c r="E256" t="s">
        <v>13</v>
      </c>
      <c r="F256">
        <v>708.57</v>
      </c>
      <c r="G256">
        <v>4</v>
      </c>
      <c r="H256" s="2">
        <f>Table3[[#This Row],[UnitPrice]]*Table3[Quantity]</f>
        <v>2834.28</v>
      </c>
      <c r="I256" t="s">
        <v>69</v>
      </c>
      <c r="J256">
        <v>24</v>
      </c>
      <c r="K256" t="s">
        <v>27</v>
      </c>
      <c r="L256" t="s">
        <v>28</v>
      </c>
    </row>
    <row r="257" spans="1:12" x14ac:dyDescent="0.25">
      <c r="A257">
        <v>1256</v>
      </c>
      <c r="B257" s="1">
        <v>45781</v>
      </c>
      <c r="C257" t="s">
        <v>11</v>
      </c>
      <c r="D257" t="s">
        <v>34</v>
      </c>
      <c r="E257" t="s">
        <v>35</v>
      </c>
      <c r="F257">
        <v>726.09</v>
      </c>
      <c r="G257">
        <v>3</v>
      </c>
      <c r="H257" s="2">
        <f>Table3[[#This Row],[UnitPrice]]*Table3[Quantity]</f>
        <v>2178.27</v>
      </c>
      <c r="I257" t="s">
        <v>56</v>
      </c>
      <c r="J257">
        <v>23</v>
      </c>
      <c r="K257" t="s">
        <v>21</v>
      </c>
      <c r="L257" t="s">
        <v>22</v>
      </c>
    </row>
    <row r="258" spans="1:12" x14ac:dyDescent="0.25">
      <c r="A258">
        <v>1257</v>
      </c>
      <c r="B258" s="1">
        <v>45947</v>
      </c>
      <c r="C258" t="s">
        <v>11</v>
      </c>
      <c r="D258" t="s">
        <v>24</v>
      </c>
      <c r="E258" t="s">
        <v>43</v>
      </c>
      <c r="F258">
        <v>37</v>
      </c>
      <c r="G258">
        <v>1</v>
      </c>
      <c r="H258" s="2">
        <f>Table3[[#This Row],[UnitPrice]]*Table3[Quantity]</f>
        <v>37</v>
      </c>
      <c r="I258" t="s">
        <v>61</v>
      </c>
      <c r="J258">
        <v>59</v>
      </c>
      <c r="K258" t="s">
        <v>27</v>
      </c>
      <c r="L258" t="s">
        <v>22</v>
      </c>
    </row>
    <row r="259" spans="1:12" x14ac:dyDescent="0.25">
      <c r="A259">
        <v>1258</v>
      </c>
      <c r="B259" s="1">
        <v>45852</v>
      </c>
      <c r="C259" t="s">
        <v>32</v>
      </c>
      <c r="D259" t="s">
        <v>34</v>
      </c>
      <c r="E259" t="s">
        <v>35</v>
      </c>
      <c r="F259">
        <v>654.70000000000005</v>
      </c>
      <c r="G259">
        <v>2</v>
      </c>
      <c r="H259" s="2">
        <f>Table3[[#This Row],[UnitPrice]]*Table3[Quantity]</f>
        <v>1309.4000000000001</v>
      </c>
      <c r="I259" t="s">
        <v>29</v>
      </c>
      <c r="J259">
        <v>49</v>
      </c>
      <c r="K259" t="s">
        <v>27</v>
      </c>
      <c r="L259" t="s">
        <v>28</v>
      </c>
    </row>
    <row r="260" spans="1:12" x14ac:dyDescent="0.25">
      <c r="A260">
        <v>1259</v>
      </c>
      <c r="B260" s="1">
        <v>45827</v>
      </c>
      <c r="C260" t="s">
        <v>17</v>
      </c>
      <c r="D260" t="s">
        <v>24</v>
      </c>
      <c r="E260" t="s">
        <v>43</v>
      </c>
      <c r="F260">
        <v>90.53</v>
      </c>
      <c r="G260">
        <v>1</v>
      </c>
      <c r="H260" s="2">
        <f>Table3[[#This Row],[UnitPrice]]*Table3[Quantity]</f>
        <v>90.53</v>
      </c>
      <c r="I260" t="s">
        <v>37</v>
      </c>
      <c r="J260">
        <v>31</v>
      </c>
      <c r="K260" t="s">
        <v>27</v>
      </c>
      <c r="L260" t="s">
        <v>28</v>
      </c>
    </row>
    <row r="261" spans="1:12" x14ac:dyDescent="0.25">
      <c r="A261">
        <v>1260</v>
      </c>
      <c r="B261" s="1">
        <v>45948</v>
      </c>
      <c r="C261" t="s">
        <v>32</v>
      </c>
      <c r="D261" t="s">
        <v>12</v>
      </c>
      <c r="E261" t="s">
        <v>30</v>
      </c>
      <c r="F261">
        <v>1042.21</v>
      </c>
      <c r="G261">
        <v>3</v>
      </c>
      <c r="H261" s="2">
        <f>Table3[[#This Row],[UnitPrice]]*Table3[Quantity]</f>
        <v>3126.63</v>
      </c>
      <c r="I261" t="s">
        <v>39</v>
      </c>
      <c r="J261">
        <v>54</v>
      </c>
      <c r="K261" t="s">
        <v>15</v>
      </c>
      <c r="L261" t="s">
        <v>22</v>
      </c>
    </row>
    <row r="262" spans="1:12" x14ac:dyDescent="0.25">
      <c r="A262">
        <v>1261</v>
      </c>
      <c r="B262" s="1">
        <v>45819</v>
      </c>
      <c r="C262" t="s">
        <v>11</v>
      </c>
      <c r="D262" t="s">
        <v>24</v>
      </c>
      <c r="E262" t="s">
        <v>38</v>
      </c>
      <c r="F262">
        <v>22.98</v>
      </c>
      <c r="G262">
        <v>4</v>
      </c>
      <c r="H262" s="2">
        <f>Table3[[#This Row],[UnitPrice]]*Table3[Quantity]</f>
        <v>91.92</v>
      </c>
      <c r="I262" t="s">
        <v>52</v>
      </c>
      <c r="J262">
        <v>37</v>
      </c>
      <c r="K262" t="s">
        <v>21</v>
      </c>
      <c r="L262" t="s">
        <v>22</v>
      </c>
    </row>
    <row r="263" spans="1:12" x14ac:dyDescent="0.25">
      <c r="A263">
        <v>1262</v>
      </c>
      <c r="B263" s="1">
        <v>45857</v>
      </c>
      <c r="C263" t="s">
        <v>17</v>
      </c>
      <c r="D263" t="s">
        <v>24</v>
      </c>
      <c r="E263" t="s">
        <v>25</v>
      </c>
      <c r="F263">
        <v>44.55</v>
      </c>
      <c r="G263">
        <v>2</v>
      </c>
      <c r="H263" s="2">
        <f>Table3[[#This Row],[UnitPrice]]*Table3[Quantity]</f>
        <v>89.1</v>
      </c>
      <c r="I263" t="s">
        <v>74</v>
      </c>
      <c r="J263">
        <v>64</v>
      </c>
      <c r="K263" t="s">
        <v>21</v>
      </c>
      <c r="L263" t="s">
        <v>28</v>
      </c>
    </row>
    <row r="264" spans="1:12" x14ac:dyDescent="0.25">
      <c r="A264">
        <v>1263</v>
      </c>
      <c r="B264" s="1">
        <v>45835</v>
      </c>
      <c r="C264" t="s">
        <v>11</v>
      </c>
      <c r="D264" t="s">
        <v>12</v>
      </c>
      <c r="E264" t="s">
        <v>30</v>
      </c>
      <c r="F264">
        <v>1119.3399999999999</v>
      </c>
      <c r="G264">
        <v>3</v>
      </c>
      <c r="H264" s="2">
        <f>Table3[[#This Row],[UnitPrice]]*Table3[Quantity]</f>
        <v>3358.0199999999995</v>
      </c>
      <c r="I264" t="s">
        <v>63</v>
      </c>
      <c r="J264">
        <v>57</v>
      </c>
      <c r="K264" t="s">
        <v>27</v>
      </c>
      <c r="L264" t="s">
        <v>22</v>
      </c>
    </row>
    <row r="265" spans="1:12" x14ac:dyDescent="0.25">
      <c r="A265">
        <v>1264</v>
      </c>
      <c r="B265" s="1">
        <v>45825</v>
      </c>
      <c r="C265" t="s">
        <v>11</v>
      </c>
      <c r="D265" t="s">
        <v>34</v>
      </c>
      <c r="E265" t="s">
        <v>35</v>
      </c>
      <c r="F265">
        <v>596.24</v>
      </c>
      <c r="G265">
        <v>3</v>
      </c>
      <c r="H265" s="2">
        <f>Table3[[#This Row],[UnitPrice]]*Table3[Quantity]</f>
        <v>1788.72</v>
      </c>
      <c r="I265" t="s">
        <v>79</v>
      </c>
      <c r="J265">
        <v>42</v>
      </c>
      <c r="K265" t="s">
        <v>21</v>
      </c>
      <c r="L265" t="s">
        <v>28</v>
      </c>
    </row>
    <row r="266" spans="1:12" x14ac:dyDescent="0.25">
      <c r="A266">
        <v>1265</v>
      </c>
      <c r="B266" s="1">
        <v>45996</v>
      </c>
      <c r="C266" t="s">
        <v>32</v>
      </c>
      <c r="D266" t="s">
        <v>12</v>
      </c>
      <c r="E266" t="s">
        <v>13</v>
      </c>
      <c r="F266">
        <v>1099.03</v>
      </c>
      <c r="G266">
        <v>1</v>
      </c>
      <c r="H266" s="2">
        <f>Table3[[#This Row],[UnitPrice]]*Table3[Quantity]</f>
        <v>1099.03</v>
      </c>
      <c r="I266" t="s">
        <v>29</v>
      </c>
      <c r="J266">
        <v>35</v>
      </c>
      <c r="K266" t="s">
        <v>21</v>
      </c>
      <c r="L266" t="s">
        <v>28</v>
      </c>
    </row>
    <row r="267" spans="1:12" x14ac:dyDescent="0.25">
      <c r="A267">
        <v>1266</v>
      </c>
      <c r="B267" s="1">
        <v>45982</v>
      </c>
      <c r="C267" t="s">
        <v>11</v>
      </c>
      <c r="D267" t="s">
        <v>24</v>
      </c>
      <c r="E267" t="s">
        <v>25</v>
      </c>
      <c r="F267">
        <v>42.46</v>
      </c>
      <c r="G267">
        <v>1</v>
      </c>
      <c r="H267" s="2">
        <f>Table3[[#This Row],[UnitPrice]]*Table3[Quantity]</f>
        <v>42.46</v>
      </c>
      <c r="I267" t="s">
        <v>23</v>
      </c>
      <c r="J267">
        <v>37</v>
      </c>
      <c r="K267" t="s">
        <v>21</v>
      </c>
      <c r="L267" t="s">
        <v>28</v>
      </c>
    </row>
    <row r="268" spans="1:12" x14ac:dyDescent="0.25">
      <c r="A268">
        <v>1267</v>
      </c>
      <c r="B268" s="1">
        <v>45710</v>
      </c>
      <c r="C268" t="s">
        <v>11</v>
      </c>
      <c r="D268" t="s">
        <v>12</v>
      </c>
      <c r="E268" t="s">
        <v>13</v>
      </c>
      <c r="F268">
        <v>924.42</v>
      </c>
      <c r="G268">
        <v>5</v>
      </c>
      <c r="H268" s="2">
        <f>Table3[[#This Row],[UnitPrice]]*Table3[Quantity]</f>
        <v>4622.0999999999995</v>
      </c>
      <c r="I268" t="s">
        <v>20</v>
      </c>
      <c r="J268">
        <v>44</v>
      </c>
      <c r="K268" t="s">
        <v>21</v>
      </c>
      <c r="L268" t="s">
        <v>22</v>
      </c>
    </row>
    <row r="269" spans="1:12" x14ac:dyDescent="0.25">
      <c r="A269">
        <v>1268</v>
      </c>
      <c r="B269" s="1">
        <v>45941</v>
      </c>
      <c r="C269" t="s">
        <v>11</v>
      </c>
      <c r="D269" t="s">
        <v>34</v>
      </c>
      <c r="E269" t="s">
        <v>35</v>
      </c>
      <c r="F269">
        <v>745.49</v>
      </c>
      <c r="G269">
        <v>1</v>
      </c>
      <c r="H269" s="2">
        <f>Table3[[#This Row],[UnitPrice]]*Table3[Quantity]</f>
        <v>745.49</v>
      </c>
      <c r="I269" t="s">
        <v>49</v>
      </c>
      <c r="J269">
        <v>44</v>
      </c>
      <c r="K269" t="s">
        <v>21</v>
      </c>
      <c r="L269" t="s">
        <v>22</v>
      </c>
    </row>
    <row r="270" spans="1:12" x14ac:dyDescent="0.25">
      <c r="A270">
        <v>1269</v>
      </c>
      <c r="B270" s="1">
        <v>45944</v>
      </c>
      <c r="C270" t="s">
        <v>11</v>
      </c>
      <c r="D270" t="s">
        <v>34</v>
      </c>
      <c r="E270" t="s">
        <v>35</v>
      </c>
      <c r="F270">
        <v>674.13</v>
      </c>
      <c r="G270">
        <v>2</v>
      </c>
      <c r="H270" s="2">
        <f>Table3[[#This Row],[UnitPrice]]*Table3[Quantity]</f>
        <v>1348.26</v>
      </c>
      <c r="I270" t="s">
        <v>64</v>
      </c>
      <c r="J270">
        <v>35</v>
      </c>
      <c r="K270" t="s">
        <v>21</v>
      </c>
      <c r="L270" t="s">
        <v>22</v>
      </c>
    </row>
    <row r="271" spans="1:12" x14ac:dyDescent="0.25">
      <c r="A271">
        <v>1270</v>
      </c>
      <c r="B271" s="1">
        <v>45690</v>
      </c>
      <c r="C271" t="s">
        <v>11</v>
      </c>
      <c r="D271" t="s">
        <v>18</v>
      </c>
      <c r="E271" t="s">
        <v>19</v>
      </c>
      <c r="F271">
        <v>1299.75</v>
      </c>
      <c r="G271">
        <v>1</v>
      </c>
      <c r="H271" s="2">
        <f>Table3[[#This Row],[UnitPrice]]*Table3[Quantity]</f>
        <v>1299.75</v>
      </c>
      <c r="I271" t="s">
        <v>75</v>
      </c>
      <c r="J271">
        <v>34</v>
      </c>
      <c r="K271" t="s">
        <v>27</v>
      </c>
      <c r="L271" t="s">
        <v>28</v>
      </c>
    </row>
    <row r="272" spans="1:12" x14ac:dyDescent="0.25">
      <c r="A272">
        <v>1271</v>
      </c>
      <c r="B272" s="1">
        <v>45911</v>
      </c>
      <c r="C272" t="s">
        <v>17</v>
      </c>
      <c r="D272" t="s">
        <v>34</v>
      </c>
      <c r="E272" t="s">
        <v>35</v>
      </c>
      <c r="F272">
        <v>442.79</v>
      </c>
      <c r="G272">
        <v>3</v>
      </c>
      <c r="H272" s="2">
        <f>Table3[[#This Row],[UnitPrice]]*Table3[Quantity]</f>
        <v>1328.3700000000001</v>
      </c>
      <c r="I272" t="s">
        <v>23</v>
      </c>
      <c r="J272">
        <v>43</v>
      </c>
      <c r="K272" t="s">
        <v>21</v>
      </c>
      <c r="L272" t="s">
        <v>28</v>
      </c>
    </row>
    <row r="273" spans="1:12" x14ac:dyDescent="0.25">
      <c r="A273">
        <v>1272</v>
      </c>
      <c r="B273" s="1">
        <v>45826</v>
      </c>
      <c r="C273" t="s">
        <v>32</v>
      </c>
      <c r="D273" t="s">
        <v>18</v>
      </c>
      <c r="E273" t="s">
        <v>19</v>
      </c>
      <c r="F273">
        <v>1300.44</v>
      </c>
      <c r="G273">
        <v>5</v>
      </c>
      <c r="H273" s="2">
        <f>Table3[[#This Row],[UnitPrice]]*Table3[Quantity]</f>
        <v>6502.2000000000007</v>
      </c>
      <c r="I273" t="s">
        <v>74</v>
      </c>
      <c r="J273">
        <v>30</v>
      </c>
      <c r="K273" t="s">
        <v>21</v>
      </c>
      <c r="L273" t="s">
        <v>22</v>
      </c>
    </row>
    <row r="274" spans="1:12" x14ac:dyDescent="0.25">
      <c r="A274">
        <v>1273</v>
      </c>
      <c r="B274" s="1">
        <v>45861</v>
      </c>
      <c r="C274" t="s">
        <v>32</v>
      </c>
      <c r="D274" t="s">
        <v>12</v>
      </c>
      <c r="E274" t="s">
        <v>13</v>
      </c>
      <c r="F274">
        <v>1183.8800000000001</v>
      </c>
      <c r="G274">
        <v>2</v>
      </c>
      <c r="H274" s="2">
        <f>Table3[[#This Row],[UnitPrice]]*Table3[Quantity]</f>
        <v>2367.7600000000002</v>
      </c>
      <c r="I274" t="s">
        <v>59</v>
      </c>
      <c r="J274">
        <v>42</v>
      </c>
      <c r="K274" t="s">
        <v>21</v>
      </c>
      <c r="L274" t="s">
        <v>28</v>
      </c>
    </row>
    <row r="275" spans="1:12" x14ac:dyDescent="0.25">
      <c r="A275">
        <v>1274</v>
      </c>
      <c r="B275" s="1">
        <v>45844</v>
      </c>
      <c r="C275" t="s">
        <v>11</v>
      </c>
      <c r="D275" t="s">
        <v>24</v>
      </c>
      <c r="E275" t="s">
        <v>43</v>
      </c>
      <c r="F275">
        <v>63.3</v>
      </c>
      <c r="G275">
        <v>5</v>
      </c>
      <c r="H275" s="2">
        <f>Table3[[#This Row],[UnitPrice]]*Table3[Quantity]</f>
        <v>316.5</v>
      </c>
      <c r="I275" t="s">
        <v>69</v>
      </c>
      <c r="J275">
        <v>61</v>
      </c>
      <c r="K275" t="s">
        <v>27</v>
      </c>
      <c r="L275" t="s">
        <v>22</v>
      </c>
    </row>
    <row r="276" spans="1:12" x14ac:dyDescent="0.25">
      <c r="A276">
        <v>1275</v>
      </c>
      <c r="B276" s="1">
        <v>45894</v>
      </c>
      <c r="C276" t="s">
        <v>17</v>
      </c>
      <c r="D276" t="s">
        <v>12</v>
      </c>
      <c r="E276" t="s">
        <v>13</v>
      </c>
      <c r="F276">
        <v>1115.6400000000001</v>
      </c>
      <c r="G276">
        <v>1</v>
      </c>
      <c r="H276" s="2">
        <f>Table3[[#This Row],[UnitPrice]]*Table3[Quantity]</f>
        <v>1115.6400000000001</v>
      </c>
      <c r="I276" t="s">
        <v>65</v>
      </c>
      <c r="J276">
        <v>61</v>
      </c>
      <c r="K276" t="s">
        <v>21</v>
      </c>
      <c r="L276" t="s">
        <v>28</v>
      </c>
    </row>
    <row r="277" spans="1:12" x14ac:dyDescent="0.25">
      <c r="A277">
        <v>1276</v>
      </c>
      <c r="B277" s="1">
        <v>45781</v>
      </c>
      <c r="C277" t="s">
        <v>32</v>
      </c>
      <c r="D277" t="s">
        <v>34</v>
      </c>
      <c r="E277" t="s">
        <v>35</v>
      </c>
      <c r="F277">
        <v>715.63</v>
      </c>
      <c r="G277">
        <v>1</v>
      </c>
      <c r="H277" s="2">
        <f>Table3[[#This Row],[UnitPrice]]*Table3[Quantity]</f>
        <v>715.63</v>
      </c>
      <c r="I277" t="s">
        <v>47</v>
      </c>
      <c r="J277">
        <v>56</v>
      </c>
      <c r="K277" t="s">
        <v>21</v>
      </c>
      <c r="L277" t="s">
        <v>22</v>
      </c>
    </row>
    <row r="278" spans="1:12" x14ac:dyDescent="0.25">
      <c r="A278">
        <v>1277</v>
      </c>
      <c r="B278" s="1">
        <v>45917</v>
      </c>
      <c r="C278" t="s">
        <v>17</v>
      </c>
      <c r="D278" t="s">
        <v>18</v>
      </c>
      <c r="E278" t="s">
        <v>19</v>
      </c>
      <c r="F278">
        <v>1790.72</v>
      </c>
      <c r="G278">
        <v>3</v>
      </c>
      <c r="H278" s="2">
        <f>Table3[[#This Row],[UnitPrice]]*Table3[Quantity]</f>
        <v>5372.16</v>
      </c>
      <c r="I278" t="s">
        <v>74</v>
      </c>
      <c r="J278">
        <v>52</v>
      </c>
      <c r="K278" t="s">
        <v>15</v>
      </c>
      <c r="L278" t="s">
        <v>16</v>
      </c>
    </row>
    <row r="279" spans="1:12" x14ac:dyDescent="0.25">
      <c r="A279">
        <v>1278</v>
      </c>
      <c r="B279" s="1">
        <v>45713</v>
      </c>
      <c r="C279" t="s">
        <v>11</v>
      </c>
      <c r="D279" t="s">
        <v>34</v>
      </c>
      <c r="E279" t="s">
        <v>35</v>
      </c>
      <c r="F279">
        <v>466.54</v>
      </c>
      <c r="G279">
        <v>5</v>
      </c>
      <c r="H279" s="2">
        <f>Table3[[#This Row],[UnitPrice]]*Table3[Quantity]</f>
        <v>2332.7000000000003</v>
      </c>
      <c r="I279" t="s">
        <v>57</v>
      </c>
      <c r="J279">
        <v>54</v>
      </c>
      <c r="K279" t="s">
        <v>27</v>
      </c>
      <c r="L279" t="s">
        <v>28</v>
      </c>
    </row>
    <row r="280" spans="1:12" x14ac:dyDescent="0.25">
      <c r="A280">
        <v>1279</v>
      </c>
      <c r="B280" s="1">
        <v>45862</v>
      </c>
      <c r="C280" t="s">
        <v>32</v>
      </c>
      <c r="D280" t="s">
        <v>24</v>
      </c>
      <c r="E280" t="s">
        <v>25</v>
      </c>
      <c r="F280">
        <v>19.54</v>
      </c>
      <c r="G280">
        <v>1</v>
      </c>
      <c r="H280" s="2">
        <f>Table3[[#This Row],[UnitPrice]]*Table3[Quantity]</f>
        <v>19.54</v>
      </c>
      <c r="I280" t="s">
        <v>66</v>
      </c>
      <c r="J280">
        <v>32</v>
      </c>
      <c r="K280" t="s">
        <v>15</v>
      </c>
      <c r="L280" t="s">
        <v>28</v>
      </c>
    </row>
    <row r="281" spans="1:12" x14ac:dyDescent="0.25">
      <c r="A281">
        <v>1280</v>
      </c>
      <c r="B281" s="1">
        <v>45955</v>
      </c>
      <c r="C281" t="s">
        <v>17</v>
      </c>
      <c r="D281" t="s">
        <v>34</v>
      </c>
      <c r="E281" t="s">
        <v>35</v>
      </c>
      <c r="F281">
        <v>549.65</v>
      </c>
      <c r="G281">
        <v>4</v>
      </c>
      <c r="H281" s="2">
        <f>Table3[[#This Row],[UnitPrice]]*Table3[Quantity]</f>
        <v>2198.6</v>
      </c>
      <c r="I281" t="s">
        <v>31</v>
      </c>
      <c r="J281">
        <v>61</v>
      </c>
      <c r="K281" t="s">
        <v>15</v>
      </c>
      <c r="L281" t="s">
        <v>28</v>
      </c>
    </row>
    <row r="282" spans="1:12" x14ac:dyDescent="0.25">
      <c r="A282">
        <v>1281</v>
      </c>
      <c r="B282" s="1">
        <v>45834</v>
      </c>
      <c r="C282" t="s">
        <v>11</v>
      </c>
      <c r="D282" t="s">
        <v>18</v>
      </c>
      <c r="E282" t="s">
        <v>19</v>
      </c>
      <c r="F282">
        <v>1415.98</v>
      </c>
      <c r="G282">
        <v>1</v>
      </c>
      <c r="H282" s="2">
        <f>Table3[[#This Row],[UnitPrice]]*Table3[Quantity]</f>
        <v>1415.98</v>
      </c>
      <c r="I282" t="s">
        <v>44</v>
      </c>
      <c r="J282">
        <v>64</v>
      </c>
      <c r="K282" t="s">
        <v>21</v>
      </c>
      <c r="L282" t="s">
        <v>22</v>
      </c>
    </row>
    <row r="283" spans="1:12" x14ac:dyDescent="0.25">
      <c r="A283">
        <v>1282</v>
      </c>
      <c r="B283" s="1">
        <v>45891</v>
      </c>
      <c r="C283" t="s">
        <v>11</v>
      </c>
      <c r="D283" t="s">
        <v>18</v>
      </c>
      <c r="E283" t="s">
        <v>19</v>
      </c>
      <c r="F283">
        <v>1476.16</v>
      </c>
      <c r="G283">
        <v>4</v>
      </c>
      <c r="H283" s="2">
        <f>Table3[[#This Row],[UnitPrice]]*Table3[Quantity]</f>
        <v>5904.64</v>
      </c>
      <c r="I283" t="s">
        <v>45</v>
      </c>
      <c r="J283">
        <v>62</v>
      </c>
      <c r="K283" t="s">
        <v>21</v>
      </c>
      <c r="L283" t="s">
        <v>22</v>
      </c>
    </row>
    <row r="284" spans="1:12" x14ac:dyDescent="0.25">
      <c r="A284">
        <v>1283</v>
      </c>
      <c r="B284" s="1">
        <v>45680</v>
      </c>
      <c r="C284" t="s">
        <v>17</v>
      </c>
      <c r="D284" t="s">
        <v>12</v>
      </c>
      <c r="E284" t="s">
        <v>13</v>
      </c>
      <c r="F284">
        <v>1023.98</v>
      </c>
      <c r="G284">
        <v>2</v>
      </c>
      <c r="H284" s="2">
        <f>Table3[[#This Row],[UnitPrice]]*Table3[Quantity]</f>
        <v>2047.96</v>
      </c>
      <c r="I284" t="s">
        <v>14</v>
      </c>
      <c r="J284">
        <v>33</v>
      </c>
      <c r="K284" t="s">
        <v>15</v>
      </c>
      <c r="L284" t="s">
        <v>28</v>
      </c>
    </row>
    <row r="285" spans="1:12" x14ac:dyDescent="0.25">
      <c r="A285">
        <v>1284</v>
      </c>
      <c r="B285" s="1">
        <v>45827</v>
      </c>
      <c r="C285" t="s">
        <v>17</v>
      </c>
      <c r="D285" t="s">
        <v>18</v>
      </c>
      <c r="E285" t="s">
        <v>19</v>
      </c>
      <c r="F285">
        <v>1231.8599999999999</v>
      </c>
      <c r="G285">
        <v>4</v>
      </c>
      <c r="H285" s="2">
        <f>Table3[[#This Row],[UnitPrice]]*Table3[Quantity]</f>
        <v>4927.4399999999996</v>
      </c>
      <c r="I285" t="s">
        <v>80</v>
      </c>
      <c r="J285">
        <v>29</v>
      </c>
      <c r="K285" t="s">
        <v>21</v>
      </c>
      <c r="L285" t="s">
        <v>28</v>
      </c>
    </row>
    <row r="286" spans="1:12" x14ac:dyDescent="0.25">
      <c r="A286">
        <v>1285</v>
      </c>
      <c r="B286" s="1">
        <v>45860</v>
      </c>
      <c r="C286" t="s">
        <v>11</v>
      </c>
      <c r="D286" t="s">
        <v>24</v>
      </c>
      <c r="E286" t="s">
        <v>43</v>
      </c>
      <c r="F286">
        <v>50.46</v>
      </c>
      <c r="G286">
        <v>4</v>
      </c>
      <c r="H286" s="2">
        <f>Table3[[#This Row],[UnitPrice]]*Table3[Quantity]</f>
        <v>201.84</v>
      </c>
      <c r="I286" t="s">
        <v>71</v>
      </c>
      <c r="J286">
        <v>18</v>
      </c>
      <c r="K286" t="s">
        <v>27</v>
      </c>
      <c r="L286" t="s">
        <v>22</v>
      </c>
    </row>
    <row r="287" spans="1:12" x14ac:dyDescent="0.25">
      <c r="A287">
        <v>1286</v>
      </c>
      <c r="B287" s="1">
        <v>46018</v>
      </c>
      <c r="C287" t="s">
        <v>11</v>
      </c>
      <c r="D287" t="s">
        <v>34</v>
      </c>
      <c r="E287" t="s">
        <v>35</v>
      </c>
      <c r="F287">
        <v>546.32000000000005</v>
      </c>
      <c r="G287">
        <v>2</v>
      </c>
      <c r="H287" s="2">
        <f>Table3[[#This Row],[UnitPrice]]*Table3[Quantity]</f>
        <v>1092.6400000000001</v>
      </c>
      <c r="I287" t="s">
        <v>41</v>
      </c>
      <c r="J287">
        <v>25</v>
      </c>
      <c r="K287" t="s">
        <v>21</v>
      </c>
      <c r="L287" t="s">
        <v>16</v>
      </c>
    </row>
    <row r="288" spans="1:12" x14ac:dyDescent="0.25">
      <c r="A288">
        <v>1287</v>
      </c>
      <c r="B288" s="1">
        <v>45928</v>
      </c>
      <c r="C288" t="s">
        <v>17</v>
      </c>
      <c r="D288" t="s">
        <v>18</v>
      </c>
      <c r="E288" t="s">
        <v>19</v>
      </c>
      <c r="F288">
        <v>1611.31</v>
      </c>
      <c r="G288">
        <v>5</v>
      </c>
      <c r="H288" s="2">
        <f>Table3[[#This Row],[UnitPrice]]*Table3[Quantity]</f>
        <v>8056.5499999999993</v>
      </c>
      <c r="I288" t="s">
        <v>44</v>
      </c>
      <c r="J288">
        <v>40</v>
      </c>
      <c r="K288" t="s">
        <v>21</v>
      </c>
      <c r="L288" t="s">
        <v>22</v>
      </c>
    </row>
    <row r="289" spans="1:12" x14ac:dyDescent="0.25">
      <c r="A289">
        <v>1288</v>
      </c>
      <c r="B289" s="1">
        <v>45746</v>
      </c>
      <c r="C289" t="s">
        <v>17</v>
      </c>
      <c r="D289" t="s">
        <v>24</v>
      </c>
      <c r="E289" t="s">
        <v>25</v>
      </c>
      <c r="F289">
        <v>92.68</v>
      </c>
      <c r="G289">
        <v>5</v>
      </c>
      <c r="H289" s="2">
        <f>Table3[[#This Row],[UnitPrice]]*Table3[Quantity]</f>
        <v>463.40000000000003</v>
      </c>
      <c r="I289" t="s">
        <v>29</v>
      </c>
      <c r="J289">
        <v>61</v>
      </c>
      <c r="K289" t="s">
        <v>21</v>
      </c>
      <c r="L289" t="s">
        <v>22</v>
      </c>
    </row>
    <row r="290" spans="1:12" x14ac:dyDescent="0.25">
      <c r="A290">
        <v>1289</v>
      </c>
      <c r="B290" s="1">
        <v>45814</v>
      </c>
      <c r="C290" t="s">
        <v>11</v>
      </c>
      <c r="D290" t="s">
        <v>12</v>
      </c>
      <c r="E290" t="s">
        <v>30</v>
      </c>
      <c r="F290">
        <v>955.41</v>
      </c>
      <c r="G290">
        <v>4</v>
      </c>
      <c r="H290" s="2">
        <f>Table3[[#This Row],[UnitPrice]]*Table3[Quantity]</f>
        <v>3821.64</v>
      </c>
      <c r="I290" t="s">
        <v>63</v>
      </c>
      <c r="J290">
        <v>26</v>
      </c>
      <c r="K290" t="s">
        <v>15</v>
      </c>
      <c r="L290" t="s">
        <v>22</v>
      </c>
    </row>
    <row r="291" spans="1:12" x14ac:dyDescent="0.25">
      <c r="A291">
        <v>1290</v>
      </c>
      <c r="B291" s="1">
        <v>45907</v>
      </c>
      <c r="C291" t="s">
        <v>17</v>
      </c>
      <c r="D291" t="s">
        <v>18</v>
      </c>
      <c r="E291" t="s">
        <v>19</v>
      </c>
      <c r="F291">
        <v>1554.91</v>
      </c>
      <c r="G291">
        <v>4</v>
      </c>
      <c r="H291" s="2">
        <f>Table3[[#This Row],[UnitPrice]]*Table3[Quantity]</f>
        <v>6219.64</v>
      </c>
      <c r="I291" t="s">
        <v>49</v>
      </c>
      <c r="J291">
        <v>26</v>
      </c>
      <c r="K291" t="s">
        <v>21</v>
      </c>
      <c r="L291" t="s">
        <v>16</v>
      </c>
    </row>
    <row r="292" spans="1:12" x14ac:dyDescent="0.25">
      <c r="A292">
        <v>1291</v>
      </c>
      <c r="B292" s="1">
        <v>45975</v>
      </c>
      <c r="C292" t="s">
        <v>11</v>
      </c>
      <c r="D292" t="s">
        <v>24</v>
      </c>
      <c r="E292" t="s">
        <v>43</v>
      </c>
      <c r="F292">
        <v>53.61</v>
      </c>
      <c r="G292">
        <v>2</v>
      </c>
      <c r="H292" s="2">
        <f>Table3[[#This Row],[UnitPrice]]*Table3[Quantity]</f>
        <v>107.22</v>
      </c>
      <c r="I292" t="s">
        <v>71</v>
      </c>
      <c r="J292">
        <v>53</v>
      </c>
      <c r="K292" t="s">
        <v>15</v>
      </c>
      <c r="L292" t="s">
        <v>22</v>
      </c>
    </row>
    <row r="293" spans="1:12" x14ac:dyDescent="0.25">
      <c r="A293">
        <v>1292</v>
      </c>
      <c r="B293" s="1">
        <v>46008</v>
      </c>
      <c r="C293" t="s">
        <v>32</v>
      </c>
      <c r="D293" t="s">
        <v>18</v>
      </c>
      <c r="E293" t="s">
        <v>19</v>
      </c>
      <c r="F293">
        <v>1488.7</v>
      </c>
      <c r="G293">
        <v>1</v>
      </c>
      <c r="H293" s="2">
        <f>Table3[[#This Row],[UnitPrice]]*Table3[Quantity]</f>
        <v>1488.7</v>
      </c>
      <c r="I293" t="s">
        <v>67</v>
      </c>
      <c r="J293">
        <v>19</v>
      </c>
      <c r="K293" t="s">
        <v>27</v>
      </c>
      <c r="L293" t="s">
        <v>22</v>
      </c>
    </row>
    <row r="294" spans="1:12" x14ac:dyDescent="0.25">
      <c r="A294">
        <v>1293</v>
      </c>
      <c r="B294" s="1">
        <v>45674</v>
      </c>
      <c r="C294" t="s">
        <v>32</v>
      </c>
      <c r="D294" t="s">
        <v>12</v>
      </c>
      <c r="E294" t="s">
        <v>13</v>
      </c>
      <c r="F294">
        <v>784.1</v>
      </c>
      <c r="G294">
        <v>4</v>
      </c>
      <c r="H294" s="2">
        <f>Table3[[#This Row],[UnitPrice]]*Table3[Quantity]</f>
        <v>3136.4</v>
      </c>
      <c r="I294" t="s">
        <v>67</v>
      </c>
      <c r="J294">
        <v>65</v>
      </c>
      <c r="K294" t="s">
        <v>27</v>
      </c>
      <c r="L294" t="s">
        <v>22</v>
      </c>
    </row>
    <row r="295" spans="1:12" x14ac:dyDescent="0.25">
      <c r="A295">
        <v>1294</v>
      </c>
      <c r="B295" s="1">
        <v>45919</v>
      </c>
      <c r="C295" t="s">
        <v>11</v>
      </c>
      <c r="D295" t="s">
        <v>34</v>
      </c>
      <c r="E295" t="s">
        <v>35</v>
      </c>
      <c r="F295">
        <v>710.05</v>
      </c>
      <c r="G295">
        <v>3</v>
      </c>
      <c r="H295" s="2">
        <f>Table3[[#This Row],[UnitPrice]]*Table3[Quantity]</f>
        <v>2130.1499999999996</v>
      </c>
      <c r="I295" t="s">
        <v>39</v>
      </c>
      <c r="J295">
        <v>20</v>
      </c>
      <c r="K295" t="s">
        <v>27</v>
      </c>
      <c r="L295" t="s">
        <v>22</v>
      </c>
    </row>
    <row r="296" spans="1:12" x14ac:dyDescent="0.25">
      <c r="A296">
        <v>1295</v>
      </c>
      <c r="B296" s="1">
        <v>45769</v>
      </c>
      <c r="C296" t="s">
        <v>32</v>
      </c>
      <c r="D296" t="s">
        <v>12</v>
      </c>
      <c r="E296" t="s">
        <v>30</v>
      </c>
      <c r="F296">
        <v>848.85</v>
      </c>
      <c r="G296">
        <v>1</v>
      </c>
      <c r="H296" s="2">
        <f>Table3[[#This Row],[UnitPrice]]*Table3[Quantity]</f>
        <v>848.85</v>
      </c>
      <c r="I296" t="s">
        <v>47</v>
      </c>
      <c r="J296">
        <v>34</v>
      </c>
      <c r="K296" t="s">
        <v>21</v>
      </c>
      <c r="L296" t="s">
        <v>16</v>
      </c>
    </row>
    <row r="297" spans="1:12" x14ac:dyDescent="0.25">
      <c r="A297">
        <v>1296</v>
      </c>
      <c r="B297" s="1">
        <v>45882</v>
      </c>
      <c r="C297" t="s">
        <v>11</v>
      </c>
      <c r="D297" t="s">
        <v>24</v>
      </c>
      <c r="E297" t="s">
        <v>43</v>
      </c>
      <c r="F297">
        <v>28.89</v>
      </c>
      <c r="G297">
        <v>5</v>
      </c>
      <c r="H297" s="2">
        <f>Table3[[#This Row],[UnitPrice]]*Table3[Quantity]</f>
        <v>144.44999999999999</v>
      </c>
      <c r="I297" t="s">
        <v>74</v>
      </c>
      <c r="J297">
        <v>40</v>
      </c>
      <c r="K297" t="s">
        <v>27</v>
      </c>
      <c r="L297" t="s">
        <v>28</v>
      </c>
    </row>
    <row r="298" spans="1:12" x14ac:dyDescent="0.25">
      <c r="A298">
        <v>1297</v>
      </c>
      <c r="B298" s="1">
        <v>45877</v>
      </c>
      <c r="C298" t="s">
        <v>11</v>
      </c>
      <c r="D298" t="s">
        <v>34</v>
      </c>
      <c r="E298" t="s">
        <v>35</v>
      </c>
      <c r="F298">
        <v>725.41</v>
      </c>
      <c r="G298">
        <v>1</v>
      </c>
      <c r="H298" s="2">
        <f>Table3[[#This Row],[UnitPrice]]*Table3[Quantity]</f>
        <v>725.41</v>
      </c>
      <c r="I298" t="s">
        <v>67</v>
      </c>
      <c r="J298">
        <v>40</v>
      </c>
      <c r="K298" t="s">
        <v>15</v>
      </c>
      <c r="L298" t="s">
        <v>28</v>
      </c>
    </row>
    <row r="299" spans="1:12" x14ac:dyDescent="0.25">
      <c r="A299">
        <v>1298</v>
      </c>
      <c r="B299" s="1">
        <v>45744</v>
      </c>
      <c r="C299" t="s">
        <v>32</v>
      </c>
      <c r="D299" t="s">
        <v>24</v>
      </c>
      <c r="E299" t="s">
        <v>25</v>
      </c>
      <c r="F299">
        <v>36.04</v>
      </c>
      <c r="G299">
        <v>3</v>
      </c>
      <c r="H299" s="2">
        <f>Table3[[#This Row],[UnitPrice]]*Table3[Quantity]</f>
        <v>108.12</v>
      </c>
      <c r="I299" t="s">
        <v>20</v>
      </c>
      <c r="J299">
        <v>61</v>
      </c>
      <c r="K299" t="s">
        <v>27</v>
      </c>
      <c r="L299" t="s">
        <v>22</v>
      </c>
    </row>
    <row r="300" spans="1:12" x14ac:dyDescent="0.25">
      <c r="A300">
        <v>1299</v>
      </c>
      <c r="B300" s="1">
        <v>45868</v>
      </c>
      <c r="C300" t="s">
        <v>11</v>
      </c>
      <c r="D300" t="s">
        <v>24</v>
      </c>
      <c r="E300" t="s">
        <v>38</v>
      </c>
      <c r="F300">
        <v>21.42</v>
      </c>
      <c r="G300">
        <v>2</v>
      </c>
      <c r="H300" s="2">
        <f>Table3[[#This Row],[UnitPrice]]*Table3[Quantity]</f>
        <v>42.84</v>
      </c>
      <c r="I300" t="s">
        <v>42</v>
      </c>
      <c r="J300">
        <v>27</v>
      </c>
      <c r="K300" t="s">
        <v>27</v>
      </c>
      <c r="L300" t="s">
        <v>16</v>
      </c>
    </row>
    <row r="301" spans="1:12" x14ac:dyDescent="0.25">
      <c r="A301">
        <v>1300</v>
      </c>
      <c r="B301" s="1">
        <v>46004</v>
      </c>
      <c r="C301" t="s">
        <v>32</v>
      </c>
      <c r="D301" t="s">
        <v>18</v>
      </c>
      <c r="E301" t="s">
        <v>19</v>
      </c>
      <c r="F301">
        <v>1627.81</v>
      </c>
      <c r="G301">
        <v>4</v>
      </c>
      <c r="H301" s="2">
        <f>Table3[[#This Row],[UnitPrice]]*Table3[Quantity]</f>
        <v>6511.24</v>
      </c>
      <c r="I301" t="s">
        <v>47</v>
      </c>
      <c r="J301">
        <v>22</v>
      </c>
      <c r="K301" t="s">
        <v>15</v>
      </c>
      <c r="L301" t="s">
        <v>16</v>
      </c>
    </row>
    <row r="302" spans="1:12" x14ac:dyDescent="0.25">
      <c r="A302">
        <v>1301</v>
      </c>
      <c r="B302" s="1">
        <v>45705</v>
      </c>
      <c r="C302" t="s">
        <v>32</v>
      </c>
      <c r="D302" t="s">
        <v>18</v>
      </c>
      <c r="E302" t="s">
        <v>19</v>
      </c>
      <c r="F302">
        <v>1694.7</v>
      </c>
      <c r="G302">
        <v>3</v>
      </c>
      <c r="H302" s="2">
        <f>Table3[[#This Row],[UnitPrice]]*Table3[Quantity]</f>
        <v>5084.1000000000004</v>
      </c>
      <c r="I302" t="s">
        <v>41</v>
      </c>
      <c r="J302">
        <v>49</v>
      </c>
      <c r="K302" t="s">
        <v>21</v>
      </c>
      <c r="L302" t="s">
        <v>22</v>
      </c>
    </row>
    <row r="303" spans="1:12" x14ac:dyDescent="0.25">
      <c r="A303">
        <v>1302</v>
      </c>
      <c r="B303" s="1">
        <v>45705</v>
      </c>
      <c r="C303" t="s">
        <v>17</v>
      </c>
      <c r="D303" t="s">
        <v>24</v>
      </c>
      <c r="E303" t="s">
        <v>38</v>
      </c>
      <c r="F303">
        <v>69.77</v>
      </c>
      <c r="G303">
        <v>3</v>
      </c>
      <c r="H303" s="2">
        <f>Table3[[#This Row],[UnitPrice]]*Table3[Quantity]</f>
        <v>209.31</v>
      </c>
      <c r="I303" t="s">
        <v>52</v>
      </c>
      <c r="J303">
        <v>52</v>
      </c>
      <c r="K303" t="s">
        <v>21</v>
      </c>
      <c r="L303" t="s">
        <v>16</v>
      </c>
    </row>
    <row r="304" spans="1:12" x14ac:dyDescent="0.25">
      <c r="A304">
        <v>1303</v>
      </c>
      <c r="B304" s="1">
        <v>45766</v>
      </c>
      <c r="C304" t="s">
        <v>32</v>
      </c>
      <c r="D304" t="s">
        <v>12</v>
      </c>
      <c r="E304" t="s">
        <v>13</v>
      </c>
      <c r="F304">
        <v>868.88</v>
      </c>
      <c r="G304">
        <v>5</v>
      </c>
      <c r="H304" s="2">
        <f>Table3[[#This Row],[UnitPrice]]*Table3[Quantity]</f>
        <v>4344.3999999999996</v>
      </c>
      <c r="I304" t="s">
        <v>64</v>
      </c>
      <c r="J304">
        <v>54</v>
      </c>
      <c r="K304" t="s">
        <v>27</v>
      </c>
      <c r="L304" t="s">
        <v>28</v>
      </c>
    </row>
    <row r="305" spans="1:12" x14ac:dyDescent="0.25">
      <c r="A305">
        <v>1304</v>
      </c>
      <c r="B305" s="1">
        <v>46007</v>
      </c>
      <c r="C305" t="s">
        <v>11</v>
      </c>
      <c r="D305" t="s">
        <v>12</v>
      </c>
      <c r="E305" t="s">
        <v>13</v>
      </c>
      <c r="F305">
        <v>708.14</v>
      </c>
      <c r="G305">
        <v>2</v>
      </c>
      <c r="H305" s="2">
        <f>Table3[[#This Row],[UnitPrice]]*Table3[Quantity]</f>
        <v>1416.28</v>
      </c>
      <c r="I305" t="s">
        <v>47</v>
      </c>
      <c r="J305">
        <v>47</v>
      </c>
      <c r="K305" t="s">
        <v>21</v>
      </c>
      <c r="L305" t="s">
        <v>16</v>
      </c>
    </row>
    <row r="306" spans="1:12" x14ac:dyDescent="0.25">
      <c r="A306">
        <v>1305</v>
      </c>
      <c r="B306" s="1">
        <v>45761</v>
      </c>
      <c r="C306" t="s">
        <v>17</v>
      </c>
      <c r="D306" t="s">
        <v>24</v>
      </c>
      <c r="E306" t="s">
        <v>38</v>
      </c>
      <c r="F306">
        <v>37.17</v>
      </c>
      <c r="G306">
        <v>3</v>
      </c>
      <c r="H306" s="2">
        <f>Table3[[#This Row],[UnitPrice]]*Table3[Quantity]</f>
        <v>111.51</v>
      </c>
      <c r="I306" t="s">
        <v>29</v>
      </c>
      <c r="J306">
        <v>59</v>
      </c>
      <c r="K306" t="s">
        <v>21</v>
      </c>
      <c r="L306" t="s">
        <v>22</v>
      </c>
    </row>
    <row r="307" spans="1:12" x14ac:dyDescent="0.25">
      <c r="A307">
        <v>1306</v>
      </c>
      <c r="B307" s="1">
        <v>45998</v>
      </c>
      <c r="C307" t="s">
        <v>17</v>
      </c>
      <c r="D307" t="s">
        <v>12</v>
      </c>
      <c r="E307" t="s">
        <v>13</v>
      </c>
      <c r="F307">
        <v>1012.8</v>
      </c>
      <c r="G307">
        <v>2</v>
      </c>
      <c r="H307" s="2">
        <f>Table3[[#This Row],[UnitPrice]]*Table3[Quantity]</f>
        <v>2025.6</v>
      </c>
      <c r="I307" t="s">
        <v>46</v>
      </c>
      <c r="J307">
        <v>59</v>
      </c>
      <c r="K307" t="s">
        <v>21</v>
      </c>
      <c r="L307" t="s">
        <v>22</v>
      </c>
    </row>
    <row r="308" spans="1:12" x14ac:dyDescent="0.25">
      <c r="A308">
        <v>1307</v>
      </c>
      <c r="B308" s="1">
        <v>45767</v>
      </c>
      <c r="C308" t="s">
        <v>32</v>
      </c>
      <c r="D308" t="s">
        <v>12</v>
      </c>
      <c r="E308" t="s">
        <v>30</v>
      </c>
      <c r="F308">
        <v>959.72</v>
      </c>
      <c r="G308">
        <v>4</v>
      </c>
      <c r="H308" s="2">
        <f>Table3[[#This Row],[UnitPrice]]*Table3[Quantity]</f>
        <v>3838.88</v>
      </c>
      <c r="I308" t="s">
        <v>23</v>
      </c>
      <c r="J308">
        <v>18</v>
      </c>
      <c r="K308" t="s">
        <v>15</v>
      </c>
      <c r="L308" t="s">
        <v>16</v>
      </c>
    </row>
    <row r="309" spans="1:12" x14ac:dyDescent="0.25">
      <c r="A309">
        <v>1308</v>
      </c>
      <c r="B309" s="1">
        <v>45874</v>
      </c>
      <c r="C309" t="s">
        <v>17</v>
      </c>
      <c r="D309" t="s">
        <v>12</v>
      </c>
      <c r="E309" t="s">
        <v>30</v>
      </c>
      <c r="F309">
        <v>814.47</v>
      </c>
      <c r="G309">
        <v>1</v>
      </c>
      <c r="H309" s="2">
        <f>Table3[[#This Row],[UnitPrice]]*Table3[Quantity]</f>
        <v>814.47</v>
      </c>
      <c r="I309" t="s">
        <v>45</v>
      </c>
      <c r="J309">
        <v>24</v>
      </c>
      <c r="K309" t="s">
        <v>21</v>
      </c>
      <c r="L309" t="s">
        <v>22</v>
      </c>
    </row>
    <row r="310" spans="1:12" x14ac:dyDescent="0.25">
      <c r="A310">
        <v>1309</v>
      </c>
      <c r="B310" s="1">
        <v>45811</v>
      </c>
      <c r="C310" t="s">
        <v>11</v>
      </c>
      <c r="D310" t="s">
        <v>18</v>
      </c>
      <c r="E310" t="s">
        <v>19</v>
      </c>
      <c r="F310">
        <v>1641.58</v>
      </c>
      <c r="G310">
        <v>2</v>
      </c>
      <c r="H310" s="2">
        <f>Table3[[#This Row],[UnitPrice]]*Table3[Quantity]</f>
        <v>3283.16</v>
      </c>
      <c r="I310" t="s">
        <v>52</v>
      </c>
      <c r="J310">
        <v>51</v>
      </c>
      <c r="K310" t="s">
        <v>15</v>
      </c>
      <c r="L310" t="s">
        <v>28</v>
      </c>
    </row>
    <row r="311" spans="1:12" x14ac:dyDescent="0.25">
      <c r="A311">
        <v>1310</v>
      </c>
      <c r="B311" s="1">
        <v>45742</v>
      </c>
      <c r="C311" t="s">
        <v>32</v>
      </c>
      <c r="D311" t="s">
        <v>18</v>
      </c>
      <c r="E311" t="s">
        <v>19</v>
      </c>
      <c r="F311">
        <v>1628.08</v>
      </c>
      <c r="G311">
        <v>2</v>
      </c>
      <c r="H311" s="2">
        <f>Table3[[#This Row],[UnitPrice]]*Table3[Quantity]</f>
        <v>3256.16</v>
      </c>
      <c r="I311" t="s">
        <v>65</v>
      </c>
      <c r="J311">
        <v>57</v>
      </c>
      <c r="K311" t="s">
        <v>15</v>
      </c>
      <c r="L311" t="s">
        <v>16</v>
      </c>
    </row>
    <row r="312" spans="1:12" x14ac:dyDescent="0.25">
      <c r="A312">
        <v>1311</v>
      </c>
      <c r="B312" s="1">
        <v>45702</v>
      </c>
      <c r="C312" t="s">
        <v>11</v>
      </c>
      <c r="D312" t="s">
        <v>12</v>
      </c>
      <c r="E312" t="s">
        <v>30</v>
      </c>
      <c r="F312">
        <v>994.79</v>
      </c>
      <c r="G312">
        <v>4</v>
      </c>
      <c r="H312" s="2">
        <f>Table3[[#This Row],[UnitPrice]]*Table3[Quantity]</f>
        <v>3979.16</v>
      </c>
      <c r="I312" t="s">
        <v>70</v>
      </c>
      <c r="J312">
        <v>45</v>
      </c>
      <c r="K312" t="s">
        <v>21</v>
      </c>
      <c r="L312" t="s">
        <v>22</v>
      </c>
    </row>
    <row r="313" spans="1:12" x14ac:dyDescent="0.25">
      <c r="A313">
        <v>1312</v>
      </c>
      <c r="B313" s="1">
        <v>45799</v>
      </c>
      <c r="C313" t="s">
        <v>17</v>
      </c>
      <c r="D313" t="s">
        <v>12</v>
      </c>
      <c r="E313" t="s">
        <v>13</v>
      </c>
      <c r="F313">
        <v>1089.48</v>
      </c>
      <c r="G313">
        <v>1</v>
      </c>
      <c r="H313" s="2">
        <f>Table3[[#This Row],[UnitPrice]]*Table3[Quantity]</f>
        <v>1089.48</v>
      </c>
      <c r="I313" t="s">
        <v>51</v>
      </c>
      <c r="J313">
        <v>37</v>
      </c>
      <c r="K313" t="s">
        <v>21</v>
      </c>
      <c r="L313" t="s">
        <v>28</v>
      </c>
    </row>
    <row r="314" spans="1:12" x14ac:dyDescent="0.25">
      <c r="A314">
        <v>1313</v>
      </c>
      <c r="B314" s="1">
        <v>45754</v>
      </c>
      <c r="C314" t="s">
        <v>17</v>
      </c>
      <c r="D314" t="s">
        <v>18</v>
      </c>
      <c r="E314" t="s">
        <v>19</v>
      </c>
      <c r="F314">
        <v>1783.8</v>
      </c>
      <c r="G314">
        <v>2</v>
      </c>
      <c r="H314" s="2">
        <f>Table3[[#This Row],[UnitPrice]]*Table3[Quantity]</f>
        <v>3567.6</v>
      </c>
      <c r="I314" t="s">
        <v>62</v>
      </c>
      <c r="J314">
        <v>42</v>
      </c>
      <c r="K314" t="s">
        <v>21</v>
      </c>
      <c r="L314" t="s">
        <v>22</v>
      </c>
    </row>
    <row r="315" spans="1:12" x14ac:dyDescent="0.25">
      <c r="A315">
        <v>1314</v>
      </c>
      <c r="B315" s="1">
        <v>45962</v>
      </c>
      <c r="C315" t="s">
        <v>11</v>
      </c>
      <c r="D315" t="s">
        <v>18</v>
      </c>
      <c r="E315" t="s">
        <v>19</v>
      </c>
      <c r="F315">
        <v>1986.88</v>
      </c>
      <c r="G315">
        <v>3</v>
      </c>
      <c r="H315" s="2">
        <f>Table3[[#This Row],[UnitPrice]]*Table3[Quantity]</f>
        <v>5960.64</v>
      </c>
      <c r="I315" t="s">
        <v>64</v>
      </c>
      <c r="J315">
        <v>42</v>
      </c>
      <c r="K315" t="s">
        <v>27</v>
      </c>
      <c r="L315" t="s">
        <v>28</v>
      </c>
    </row>
    <row r="316" spans="1:12" x14ac:dyDescent="0.25">
      <c r="A316">
        <v>1315</v>
      </c>
      <c r="B316" s="1">
        <v>45845</v>
      </c>
      <c r="C316" t="s">
        <v>17</v>
      </c>
      <c r="D316" t="s">
        <v>34</v>
      </c>
      <c r="E316" t="s">
        <v>35</v>
      </c>
      <c r="F316">
        <v>781.78</v>
      </c>
      <c r="G316">
        <v>1</v>
      </c>
      <c r="H316" s="2">
        <f>Table3[[#This Row],[UnitPrice]]*Table3[Quantity]</f>
        <v>781.78</v>
      </c>
      <c r="I316" t="s">
        <v>73</v>
      </c>
      <c r="J316">
        <v>55</v>
      </c>
      <c r="K316" t="s">
        <v>21</v>
      </c>
      <c r="L316" t="s">
        <v>22</v>
      </c>
    </row>
    <row r="317" spans="1:12" x14ac:dyDescent="0.25">
      <c r="A317">
        <v>1316</v>
      </c>
      <c r="B317" s="1">
        <v>45678</v>
      </c>
      <c r="C317" t="s">
        <v>11</v>
      </c>
      <c r="D317" t="s">
        <v>24</v>
      </c>
      <c r="E317" t="s">
        <v>25</v>
      </c>
      <c r="F317">
        <v>55.59</v>
      </c>
      <c r="G317">
        <v>5</v>
      </c>
      <c r="H317" s="2">
        <f>Table3[[#This Row],[UnitPrice]]*Table3[Quantity]</f>
        <v>277.95000000000005</v>
      </c>
      <c r="I317" t="s">
        <v>31</v>
      </c>
      <c r="J317">
        <v>44</v>
      </c>
      <c r="K317" t="s">
        <v>21</v>
      </c>
      <c r="L317" t="s">
        <v>22</v>
      </c>
    </row>
    <row r="318" spans="1:12" x14ac:dyDescent="0.25">
      <c r="A318">
        <v>1317</v>
      </c>
      <c r="B318" s="1">
        <v>45985</v>
      </c>
      <c r="C318" t="s">
        <v>17</v>
      </c>
      <c r="D318" t="s">
        <v>18</v>
      </c>
      <c r="E318" t="s">
        <v>19</v>
      </c>
      <c r="F318">
        <v>1277.47</v>
      </c>
      <c r="G318">
        <v>3</v>
      </c>
      <c r="H318" s="2">
        <f>Table3[[#This Row],[UnitPrice]]*Table3[Quantity]</f>
        <v>3832.41</v>
      </c>
      <c r="I318" t="s">
        <v>29</v>
      </c>
      <c r="J318">
        <v>50</v>
      </c>
      <c r="K318" t="s">
        <v>27</v>
      </c>
      <c r="L318" t="s">
        <v>16</v>
      </c>
    </row>
    <row r="319" spans="1:12" x14ac:dyDescent="0.25">
      <c r="A319">
        <v>1318</v>
      </c>
      <c r="B319" s="1">
        <v>45737</v>
      </c>
      <c r="C319" t="s">
        <v>17</v>
      </c>
      <c r="D319" t="s">
        <v>18</v>
      </c>
      <c r="E319" t="s">
        <v>19</v>
      </c>
      <c r="F319">
        <v>1310.17</v>
      </c>
      <c r="G319">
        <v>4</v>
      </c>
      <c r="H319" s="2">
        <f>Table3[[#This Row],[UnitPrice]]*Table3[Quantity]</f>
        <v>5240.68</v>
      </c>
      <c r="I319" t="s">
        <v>45</v>
      </c>
      <c r="J319">
        <v>33</v>
      </c>
      <c r="K319" t="s">
        <v>21</v>
      </c>
      <c r="L319" t="s">
        <v>22</v>
      </c>
    </row>
    <row r="320" spans="1:12" x14ac:dyDescent="0.25">
      <c r="A320">
        <v>1319</v>
      </c>
      <c r="B320" s="1">
        <v>45880</v>
      </c>
      <c r="C320" t="s">
        <v>11</v>
      </c>
      <c r="D320" t="s">
        <v>18</v>
      </c>
      <c r="E320" t="s">
        <v>19</v>
      </c>
      <c r="F320">
        <v>1309.29</v>
      </c>
      <c r="G320">
        <v>2</v>
      </c>
      <c r="H320" s="2">
        <f>Table3[[#This Row],[UnitPrice]]*Table3[Quantity]</f>
        <v>2618.58</v>
      </c>
      <c r="I320" t="s">
        <v>44</v>
      </c>
      <c r="J320">
        <v>18</v>
      </c>
      <c r="K320" t="s">
        <v>27</v>
      </c>
      <c r="L320" t="s">
        <v>28</v>
      </c>
    </row>
    <row r="321" spans="1:12" x14ac:dyDescent="0.25">
      <c r="A321">
        <v>1320</v>
      </c>
      <c r="B321" s="1">
        <v>45741</v>
      </c>
      <c r="C321" t="s">
        <v>32</v>
      </c>
      <c r="D321" t="s">
        <v>24</v>
      </c>
      <c r="E321" t="s">
        <v>38</v>
      </c>
      <c r="F321">
        <v>56.55</v>
      </c>
      <c r="G321">
        <v>3</v>
      </c>
      <c r="H321" s="2">
        <f>Table3[[#This Row],[UnitPrice]]*Table3[Quantity]</f>
        <v>169.64999999999998</v>
      </c>
      <c r="I321" t="s">
        <v>36</v>
      </c>
      <c r="J321">
        <v>41</v>
      </c>
      <c r="K321" t="s">
        <v>21</v>
      </c>
      <c r="L321" t="s">
        <v>28</v>
      </c>
    </row>
    <row r="322" spans="1:12" x14ac:dyDescent="0.25">
      <c r="A322">
        <v>1321</v>
      </c>
      <c r="B322" s="1">
        <v>45795</v>
      </c>
      <c r="C322" t="s">
        <v>17</v>
      </c>
      <c r="D322" t="s">
        <v>24</v>
      </c>
      <c r="E322" t="s">
        <v>43</v>
      </c>
      <c r="F322">
        <v>40.15</v>
      </c>
      <c r="G322">
        <v>4</v>
      </c>
      <c r="H322" s="2">
        <f>Table3[[#This Row],[UnitPrice]]*Table3[Quantity]</f>
        <v>160.6</v>
      </c>
      <c r="I322" t="s">
        <v>68</v>
      </c>
      <c r="J322">
        <v>51</v>
      </c>
      <c r="K322" t="s">
        <v>21</v>
      </c>
      <c r="L322" t="s">
        <v>28</v>
      </c>
    </row>
    <row r="323" spans="1:12" x14ac:dyDescent="0.25">
      <c r="A323">
        <v>1322</v>
      </c>
      <c r="B323" s="1">
        <v>45953</v>
      </c>
      <c r="C323" t="s">
        <v>17</v>
      </c>
      <c r="D323" t="s">
        <v>12</v>
      </c>
      <c r="E323" t="s">
        <v>13</v>
      </c>
      <c r="F323">
        <v>955.39</v>
      </c>
      <c r="G323">
        <v>1</v>
      </c>
      <c r="H323" s="2">
        <f>Table3[[#This Row],[UnitPrice]]*Table3[Quantity]</f>
        <v>955.39</v>
      </c>
      <c r="I323" t="s">
        <v>62</v>
      </c>
      <c r="J323">
        <v>54</v>
      </c>
      <c r="K323" t="s">
        <v>21</v>
      </c>
      <c r="L323" t="s">
        <v>22</v>
      </c>
    </row>
    <row r="324" spans="1:12" x14ac:dyDescent="0.25">
      <c r="A324">
        <v>1323</v>
      </c>
      <c r="B324" s="1">
        <v>45710</v>
      </c>
      <c r="C324" t="s">
        <v>17</v>
      </c>
      <c r="D324" t="s">
        <v>34</v>
      </c>
      <c r="E324" t="s">
        <v>35</v>
      </c>
      <c r="F324">
        <v>491.36</v>
      </c>
      <c r="G324">
        <v>5</v>
      </c>
      <c r="H324" s="2">
        <f>Table3[[#This Row],[UnitPrice]]*Table3[Quantity]</f>
        <v>2456.8000000000002</v>
      </c>
      <c r="I324" t="s">
        <v>23</v>
      </c>
      <c r="J324">
        <v>20</v>
      </c>
      <c r="K324" t="s">
        <v>27</v>
      </c>
      <c r="L324" t="s">
        <v>22</v>
      </c>
    </row>
    <row r="325" spans="1:12" x14ac:dyDescent="0.25">
      <c r="A325">
        <v>1324</v>
      </c>
      <c r="B325" s="1">
        <v>45681</v>
      </c>
      <c r="C325" t="s">
        <v>32</v>
      </c>
      <c r="D325" t="s">
        <v>18</v>
      </c>
      <c r="E325" t="s">
        <v>19</v>
      </c>
      <c r="F325">
        <v>1178.96</v>
      </c>
      <c r="G325">
        <v>1</v>
      </c>
      <c r="H325" s="2">
        <f>Table3[[#This Row],[UnitPrice]]*Table3[Quantity]</f>
        <v>1178.96</v>
      </c>
      <c r="I325" t="s">
        <v>79</v>
      </c>
      <c r="J325">
        <v>63</v>
      </c>
      <c r="K325" t="s">
        <v>27</v>
      </c>
      <c r="L325" t="s">
        <v>22</v>
      </c>
    </row>
    <row r="326" spans="1:12" x14ac:dyDescent="0.25">
      <c r="A326">
        <v>1325</v>
      </c>
      <c r="B326" s="1">
        <v>45822</v>
      </c>
      <c r="C326" t="s">
        <v>11</v>
      </c>
      <c r="D326" t="s">
        <v>18</v>
      </c>
      <c r="E326" t="s">
        <v>19</v>
      </c>
      <c r="F326">
        <v>1271.26</v>
      </c>
      <c r="G326">
        <v>1</v>
      </c>
      <c r="H326" s="2">
        <f>Table3[[#This Row],[UnitPrice]]*Table3[Quantity]</f>
        <v>1271.26</v>
      </c>
      <c r="I326" t="s">
        <v>67</v>
      </c>
      <c r="J326">
        <v>41</v>
      </c>
      <c r="K326" t="s">
        <v>21</v>
      </c>
      <c r="L326" t="s">
        <v>28</v>
      </c>
    </row>
    <row r="327" spans="1:12" x14ac:dyDescent="0.25">
      <c r="A327">
        <v>1326</v>
      </c>
      <c r="B327" s="1">
        <v>45684</v>
      </c>
      <c r="C327" t="s">
        <v>11</v>
      </c>
      <c r="D327" t="s">
        <v>12</v>
      </c>
      <c r="E327" t="s">
        <v>30</v>
      </c>
      <c r="F327">
        <v>1177.04</v>
      </c>
      <c r="G327">
        <v>1</v>
      </c>
      <c r="H327" s="2">
        <f>Table3[[#This Row],[UnitPrice]]*Table3[Quantity]</f>
        <v>1177.04</v>
      </c>
      <c r="I327" t="s">
        <v>41</v>
      </c>
      <c r="J327">
        <v>36</v>
      </c>
      <c r="K327" t="s">
        <v>27</v>
      </c>
      <c r="L327" t="s">
        <v>22</v>
      </c>
    </row>
    <row r="328" spans="1:12" x14ac:dyDescent="0.25">
      <c r="A328">
        <v>1327</v>
      </c>
      <c r="B328" s="1">
        <v>45702</v>
      </c>
      <c r="C328" t="s">
        <v>17</v>
      </c>
      <c r="D328" t="s">
        <v>18</v>
      </c>
      <c r="E328" t="s">
        <v>19</v>
      </c>
      <c r="F328">
        <v>1200.67</v>
      </c>
      <c r="G328">
        <v>5</v>
      </c>
      <c r="H328" s="2">
        <f>Table3[[#This Row],[UnitPrice]]*Table3[Quantity]</f>
        <v>6003.35</v>
      </c>
      <c r="I328" t="s">
        <v>53</v>
      </c>
      <c r="J328">
        <v>65</v>
      </c>
      <c r="K328" t="s">
        <v>15</v>
      </c>
      <c r="L328" t="s">
        <v>22</v>
      </c>
    </row>
    <row r="329" spans="1:12" x14ac:dyDescent="0.25">
      <c r="A329">
        <v>1328</v>
      </c>
      <c r="B329" s="1">
        <v>45960</v>
      </c>
      <c r="C329" t="s">
        <v>32</v>
      </c>
      <c r="D329" t="s">
        <v>24</v>
      </c>
      <c r="E329" t="s">
        <v>43</v>
      </c>
      <c r="F329">
        <v>75.92</v>
      </c>
      <c r="G329">
        <v>5</v>
      </c>
      <c r="H329" s="2">
        <f>Table3[[#This Row],[UnitPrice]]*Table3[Quantity]</f>
        <v>379.6</v>
      </c>
      <c r="I329" t="s">
        <v>40</v>
      </c>
      <c r="J329">
        <v>33</v>
      </c>
      <c r="K329" t="s">
        <v>21</v>
      </c>
      <c r="L329" t="s">
        <v>16</v>
      </c>
    </row>
    <row r="330" spans="1:12" x14ac:dyDescent="0.25">
      <c r="A330">
        <v>1329</v>
      </c>
      <c r="B330" s="1">
        <v>45670</v>
      </c>
      <c r="C330" t="s">
        <v>11</v>
      </c>
      <c r="D330" t="s">
        <v>18</v>
      </c>
      <c r="E330" t="s">
        <v>19</v>
      </c>
      <c r="F330">
        <v>1950.99</v>
      </c>
      <c r="G330">
        <v>1</v>
      </c>
      <c r="H330" s="2">
        <f>Table3[[#This Row],[UnitPrice]]*Table3[Quantity]</f>
        <v>1950.99</v>
      </c>
      <c r="I330" t="s">
        <v>40</v>
      </c>
      <c r="J330">
        <v>60</v>
      </c>
      <c r="K330" t="s">
        <v>21</v>
      </c>
      <c r="L330" t="s">
        <v>28</v>
      </c>
    </row>
    <row r="331" spans="1:12" x14ac:dyDescent="0.25">
      <c r="A331">
        <v>1330</v>
      </c>
      <c r="B331" s="1">
        <v>45815</v>
      </c>
      <c r="C331" t="s">
        <v>11</v>
      </c>
      <c r="D331" t="s">
        <v>12</v>
      </c>
      <c r="E331" t="s">
        <v>30</v>
      </c>
      <c r="F331">
        <v>909.91</v>
      </c>
      <c r="G331">
        <v>1</v>
      </c>
      <c r="H331" s="2">
        <f>Table3[[#This Row],[UnitPrice]]*Table3[Quantity]</f>
        <v>909.91</v>
      </c>
      <c r="I331" t="s">
        <v>77</v>
      </c>
      <c r="J331">
        <v>63</v>
      </c>
      <c r="K331" t="s">
        <v>21</v>
      </c>
      <c r="L331" t="s">
        <v>22</v>
      </c>
    </row>
    <row r="332" spans="1:12" x14ac:dyDescent="0.25">
      <c r="A332">
        <v>1331</v>
      </c>
      <c r="B332" s="1">
        <v>45776</v>
      </c>
      <c r="C332" t="s">
        <v>17</v>
      </c>
      <c r="D332" t="s">
        <v>18</v>
      </c>
      <c r="E332" t="s">
        <v>19</v>
      </c>
      <c r="F332">
        <v>1458.46</v>
      </c>
      <c r="G332">
        <v>1</v>
      </c>
      <c r="H332" s="2">
        <f>Table3[[#This Row],[UnitPrice]]*Table3[Quantity]</f>
        <v>1458.46</v>
      </c>
      <c r="I332" t="s">
        <v>54</v>
      </c>
      <c r="J332">
        <v>24</v>
      </c>
      <c r="K332" t="s">
        <v>15</v>
      </c>
      <c r="L332" t="s">
        <v>28</v>
      </c>
    </row>
    <row r="333" spans="1:12" x14ac:dyDescent="0.25">
      <c r="A333">
        <v>1332</v>
      </c>
      <c r="B333" s="1">
        <v>45859</v>
      </c>
      <c r="C333" t="s">
        <v>11</v>
      </c>
      <c r="D333" t="s">
        <v>34</v>
      </c>
      <c r="E333" t="s">
        <v>35</v>
      </c>
      <c r="F333">
        <v>573.99</v>
      </c>
      <c r="G333">
        <v>2</v>
      </c>
      <c r="H333" s="2">
        <f>Table3[[#This Row],[UnitPrice]]*Table3[Quantity]</f>
        <v>1147.98</v>
      </c>
      <c r="I333" t="s">
        <v>42</v>
      </c>
      <c r="J333">
        <v>36</v>
      </c>
      <c r="K333" t="s">
        <v>21</v>
      </c>
      <c r="L333" t="s">
        <v>22</v>
      </c>
    </row>
    <row r="334" spans="1:12" x14ac:dyDescent="0.25">
      <c r="A334">
        <v>1333</v>
      </c>
      <c r="B334" s="1">
        <v>45859</v>
      </c>
      <c r="C334" t="s">
        <v>17</v>
      </c>
      <c r="D334" t="s">
        <v>24</v>
      </c>
      <c r="E334" t="s">
        <v>25</v>
      </c>
      <c r="F334">
        <v>38.630000000000003</v>
      </c>
      <c r="G334">
        <v>3</v>
      </c>
      <c r="H334" s="2">
        <f>Table3[[#This Row],[UnitPrice]]*Table3[Quantity]</f>
        <v>115.89000000000001</v>
      </c>
      <c r="I334" t="s">
        <v>37</v>
      </c>
      <c r="J334">
        <v>22</v>
      </c>
      <c r="K334" t="s">
        <v>27</v>
      </c>
      <c r="L334" t="s">
        <v>22</v>
      </c>
    </row>
    <row r="335" spans="1:12" x14ac:dyDescent="0.25">
      <c r="A335">
        <v>1334</v>
      </c>
      <c r="B335" s="1">
        <v>45957</v>
      </c>
      <c r="C335" t="s">
        <v>11</v>
      </c>
      <c r="D335" t="s">
        <v>12</v>
      </c>
      <c r="E335" t="s">
        <v>30</v>
      </c>
      <c r="F335">
        <v>924.78</v>
      </c>
      <c r="G335">
        <v>3</v>
      </c>
      <c r="H335" s="2">
        <f>Table3[[#This Row],[UnitPrice]]*Table3[Quantity]</f>
        <v>2774.34</v>
      </c>
      <c r="I335" t="s">
        <v>65</v>
      </c>
      <c r="J335">
        <v>25</v>
      </c>
      <c r="K335" t="s">
        <v>15</v>
      </c>
      <c r="L335" t="s">
        <v>16</v>
      </c>
    </row>
    <row r="336" spans="1:12" x14ac:dyDescent="0.25">
      <c r="A336">
        <v>1335</v>
      </c>
      <c r="B336" s="1">
        <v>45764</v>
      </c>
      <c r="C336" t="s">
        <v>32</v>
      </c>
      <c r="D336" t="s">
        <v>18</v>
      </c>
      <c r="E336" t="s">
        <v>19</v>
      </c>
      <c r="F336">
        <v>1852.48</v>
      </c>
      <c r="G336">
        <v>1</v>
      </c>
      <c r="H336" s="2">
        <f>Table3[[#This Row],[UnitPrice]]*Table3[Quantity]</f>
        <v>1852.48</v>
      </c>
      <c r="I336" t="s">
        <v>36</v>
      </c>
      <c r="J336">
        <v>61</v>
      </c>
      <c r="K336" t="s">
        <v>21</v>
      </c>
      <c r="L336" t="s">
        <v>28</v>
      </c>
    </row>
    <row r="337" spans="1:12" x14ac:dyDescent="0.25">
      <c r="A337">
        <v>1336</v>
      </c>
      <c r="B337" s="1">
        <v>45966</v>
      </c>
      <c r="C337" t="s">
        <v>11</v>
      </c>
      <c r="D337" t="s">
        <v>12</v>
      </c>
      <c r="E337" t="s">
        <v>13</v>
      </c>
      <c r="F337">
        <v>774.16</v>
      </c>
      <c r="G337">
        <v>2</v>
      </c>
      <c r="H337" s="2">
        <f>Table3[[#This Row],[UnitPrice]]*Table3[Quantity]</f>
        <v>1548.32</v>
      </c>
      <c r="I337" t="s">
        <v>70</v>
      </c>
      <c r="J337">
        <v>43</v>
      </c>
      <c r="K337" t="s">
        <v>15</v>
      </c>
      <c r="L337" t="s">
        <v>28</v>
      </c>
    </row>
    <row r="338" spans="1:12" x14ac:dyDescent="0.25">
      <c r="A338">
        <v>1337</v>
      </c>
      <c r="B338" s="1">
        <v>45791</v>
      </c>
      <c r="C338" t="s">
        <v>11</v>
      </c>
      <c r="D338" t="s">
        <v>12</v>
      </c>
      <c r="E338" t="s">
        <v>13</v>
      </c>
      <c r="F338">
        <v>1127.3</v>
      </c>
      <c r="G338">
        <v>5</v>
      </c>
      <c r="H338" s="2">
        <f>Table3[[#This Row],[UnitPrice]]*Table3[Quantity]</f>
        <v>5636.5</v>
      </c>
      <c r="I338" t="s">
        <v>14</v>
      </c>
      <c r="J338">
        <v>53</v>
      </c>
      <c r="K338" t="s">
        <v>21</v>
      </c>
      <c r="L338" t="s">
        <v>22</v>
      </c>
    </row>
    <row r="339" spans="1:12" x14ac:dyDescent="0.25">
      <c r="A339">
        <v>1338</v>
      </c>
      <c r="B339" s="1">
        <v>45729</v>
      </c>
      <c r="C339" t="s">
        <v>11</v>
      </c>
      <c r="D339" t="s">
        <v>12</v>
      </c>
      <c r="E339" t="s">
        <v>30</v>
      </c>
      <c r="F339">
        <v>765.36</v>
      </c>
      <c r="G339">
        <v>4</v>
      </c>
      <c r="H339" s="2">
        <f>Table3[[#This Row],[UnitPrice]]*Table3[Quantity]</f>
        <v>3061.44</v>
      </c>
      <c r="I339" t="s">
        <v>75</v>
      </c>
      <c r="J339">
        <v>61</v>
      </c>
      <c r="K339" t="s">
        <v>15</v>
      </c>
      <c r="L339" t="s">
        <v>28</v>
      </c>
    </row>
    <row r="340" spans="1:12" x14ac:dyDescent="0.25">
      <c r="A340">
        <v>1339</v>
      </c>
      <c r="B340" s="1">
        <v>45956</v>
      </c>
      <c r="C340" t="s">
        <v>17</v>
      </c>
      <c r="D340" t="s">
        <v>12</v>
      </c>
      <c r="E340" t="s">
        <v>30</v>
      </c>
      <c r="F340">
        <v>710.9</v>
      </c>
      <c r="G340">
        <v>1</v>
      </c>
      <c r="H340" s="2">
        <f>Table3[[#This Row],[UnitPrice]]*Table3[Quantity]</f>
        <v>710.9</v>
      </c>
      <c r="I340" t="s">
        <v>58</v>
      </c>
      <c r="J340">
        <v>59</v>
      </c>
      <c r="K340" t="s">
        <v>21</v>
      </c>
      <c r="L340" t="s">
        <v>22</v>
      </c>
    </row>
    <row r="341" spans="1:12" x14ac:dyDescent="0.25">
      <c r="A341">
        <v>1340</v>
      </c>
      <c r="B341" s="1">
        <v>45827</v>
      </c>
      <c r="C341" t="s">
        <v>11</v>
      </c>
      <c r="D341" t="s">
        <v>12</v>
      </c>
      <c r="E341" t="s">
        <v>13</v>
      </c>
      <c r="F341">
        <v>725.32</v>
      </c>
      <c r="G341">
        <v>5</v>
      </c>
      <c r="H341" s="2">
        <f>Table3[[#This Row],[UnitPrice]]*Table3[Quantity]</f>
        <v>3626.6000000000004</v>
      </c>
      <c r="I341" t="s">
        <v>46</v>
      </c>
      <c r="J341">
        <v>64</v>
      </c>
      <c r="K341" t="s">
        <v>21</v>
      </c>
      <c r="L341" t="s">
        <v>22</v>
      </c>
    </row>
    <row r="342" spans="1:12" x14ac:dyDescent="0.25">
      <c r="A342">
        <v>1341</v>
      </c>
      <c r="B342" s="1">
        <v>46007</v>
      </c>
      <c r="C342" t="s">
        <v>32</v>
      </c>
      <c r="D342" t="s">
        <v>12</v>
      </c>
      <c r="E342" t="s">
        <v>30</v>
      </c>
      <c r="F342">
        <v>1154.1500000000001</v>
      </c>
      <c r="G342">
        <v>3</v>
      </c>
      <c r="H342" s="2">
        <f>Table3[[#This Row],[UnitPrice]]*Table3[Quantity]</f>
        <v>3462.4500000000003</v>
      </c>
      <c r="I342" t="s">
        <v>68</v>
      </c>
      <c r="J342">
        <v>46</v>
      </c>
      <c r="K342" t="s">
        <v>27</v>
      </c>
      <c r="L342" t="s">
        <v>22</v>
      </c>
    </row>
    <row r="343" spans="1:12" x14ac:dyDescent="0.25">
      <c r="A343">
        <v>1342</v>
      </c>
      <c r="B343" s="1">
        <v>45975</v>
      </c>
      <c r="C343" t="s">
        <v>17</v>
      </c>
      <c r="D343" t="s">
        <v>12</v>
      </c>
      <c r="E343" t="s">
        <v>13</v>
      </c>
      <c r="F343">
        <v>949.45</v>
      </c>
      <c r="G343">
        <v>5</v>
      </c>
      <c r="H343" s="2">
        <f>Table3[[#This Row],[UnitPrice]]*Table3[Quantity]</f>
        <v>4747.25</v>
      </c>
      <c r="I343" t="s">
        <v>48</v>
      </c>
      <c r="J343">
        <v>21</v>
      </c>
      <c r="K343" t="s">
        <v>21</v>
      </c>
      <c r="L343" t="s">
        <v>22</v>
      </c>
    </row>
    <row r="344" spans="1:12" x14ac:dyDescent="0.25">
      <c r="A344">
        <v>1343</v>
      </c>
      <c r="B344" s="1">
        <v>45872</v>
      </c>
      <c r="C344" t="s">
        <v>11</v>
      </c>
      <c r="D344" t="s">
        <v>34</v>
      </c>
      <c r="E344" t="s">
        <v>35</v>
      </c>
      <c r="F344">
        <v>652.29999999999995</v>
      </c>
      <c r="G344">
        <v>5</v>
      </c>
      <c r="H344" s="2">
        <f>Table3[[#This Row],[UnitPrice]]*Table3[Quantity]</f>
        <v>3261.5</v>
      </c>
      <c r="I344" t="s">
        <v>73</v>
      </c>
      <c r="J344">
        <v>42</v>
      </c>
      <c r="K344" t="s">
        <v>27</v>
      </c>
      <c r="L344" t="s">
        <v>22</v>
      </c>
    </row>
    <row r="345" spans="1:12" x14ac:dyDescent="0.25">
      <c r="A345">
        <v>1344</v>
      </c>
      <c r="B345" s="1">
        <v>45936</v>
      </c>
      <c r="C345" t="s">
        <v>32</v>
      </c>
      <c r="D345" t="s">
        <v>18</v>
      </c>
      <c r="E345" t="s">
        <v>19</v>
      </c>
      <c r="F345">
        <v>1388.38</v>
      </c>
      <c r="G345">
        <v>2</v>
      </c>
      <c r="H345" s="2">
        <f>Table3[[#This Row],[UnitPrice]]*Table3[Quantity]</f>
        <v>2776.76</v>
      </c>
      <c r="I345" t="s">
        <v>73</v>
      </c>
      <c r="J345">
        <v>38</v>
      </c>
      <c r="K345" t="s">
        <v>15</v>
      </c>
      <c r="L345" t="s">
        <v>22</v>
      </c>
    </row>
    <row r="346" spans="1:12" x14ac:dyDescent="0.25">
      <c r="A346">
        <v>1345</v>
      </c>
      <c r="B346" s="1">
        <v>45801</v>
      </c>
      <c r="C346" t="s">
        <v>11</v>
      </c>
      <c r="D346" t="s">
        <v>24</v>
      </c>
      <c r="E346" t="s">
        <v>25</v>
      </c>
      <c r="F346">
        <v>57.65</v>
      </c>
      <c r="G346">
        <v>5</v>
      </c>
      <c r="H346" s="2">
        <f>Table3[[#This Row],[UnitPrice]]*Table3[Quantity]</f>
        <v>288.25</v>
      </c>
      <c r="I346" t="s">
        <v>37</v>
      </c>
      <c r="J346">
        <v>28</v>
      </c>
      <c r="K346" t="s">
        <v>21</v>
      </c>
      <c r="L346" t="s">
        <v>28</v>
      </c>
    </row>
    <row r="347" spans="1:12" x14ac:dyDescent="0.25">
      <c r="A347">
        <v>1346</v>
      </c>
      <c r="B347" s="1">
        <v>45794</v>
      </c>
      <c r="C347" t="s">
        <v>17</v>
      </c>
      <c r="D347" t="s">
        <v>24</v>
      </c>
      <c r="E347" t="s">
        <v>38</v>
      </c>
      <c r="F347">
        <v>15.03</v>
      </c>
      <c r="G347">
        <v>2</v>
      </c>
      <c r="H347" s="2">
        <f>Table3[[#This Row],[UnitPrice]]*Table3[Quantity]</f>
        <v>30.06</v>
      </c>
      <c r="I347" t="s">
        <v>67</v>
      </c>
      <c r="J347">
        <v>42</v>
      </c>
      <c r="K347" t="s">
        <v>21</v>
      </c>
      <c r="L347" t="s">
        <v>16</v>
      </c>
    </row>
    <row r="348" spans="1:12" x14ac:dyDescent="0.25">
      <c r="A348">
        <v>1347</v>
      </c>
      <c r="B348" s="1">
        <v>45746</v>
      </c>
      <c r="C348" t="s">
        <v>11</v>
      </c>
      <c r="D348" t="s">
        <v>12</v>
      </c>
      <c r="E348" t="s">
        <v>13</v>
      </c>
      <c r="F348">
        <v>1103.1099999999999</v>
      </c>
      <c r="G348">
        <v>3</v>
      </c>
      <c r="H348" s="2">
        <f>Table3[[#This Row],[UnitPrice]]*Table3[Quantity]</f>
        <v>3309.33</v>
      </c>
      <c r="I348" t="s">
        <v>54</v>
      </c>
      <c r="J348">
        <v>19</v>
      </c>
      <c r="K348" t="s">
        <v>27</v>
      </c>
      <c r="L348" t="s">
        <v>22</v>
      </c>
    </row>
    <row r="349" spans="1:12" x14ac:dyDescent="0.25">
      <c r="A349">
        <v>1348</v>
      </c>
      <c r="B349" s="1">
        <v>45948</v>
      </c>
      <c r="C349" t="s">
        <v>17</v>
      </c>
      <c r="D349" t="s">
        <v>12</v>
      </c>
      <c r="E349" t="s">
        <v>30</v>
      </c>
      <c r="F349">
        <v>1118.3499999999999</v>
      </c>
      <c r="G349">
        <v>4</v>
      </c>
      <c r="H349" s="2">
        <f>Table3[[#This Row],[UnitPrice]]*Table3[Quantity]</f>
        <v>4473.3999999999996</v>
      </c>
      <c r="I349" t="s">
        <v>39</v>
      </c>
      <c r="J349">
        <v>37</v>
      </c>
      <c r="K349" t="s">
        <v>21</v>
      </c>
      <c r="L349" t="s">
        <v>22</v>
      </c>
    </row>
    <row r="350" spans="1:12" x14ac:dyDescent="0.25">
      <c r="A350">
        <v>1349</v>
      </c>
      <c r="B350" s="1">
        <v>45686</v>
      </c>
      <c r="C350" t="s">
        <v>11</v>
      </c>
      <c r="D350" t="s">
        <v>34</v>
      </c>
      <c r="E350" t="s">
        <v>35</v>
      </c>
      <c r="F350">
        <v>610.58000000000004</v>
      </c>
      <c r="G350">
        <v>1</v>
      </c>
      <c r="H350" s="2">
        <f>Table3[[#This Row],[UnitPrice]]*Table3[Quantity]</f>
        <v>610.58000000000004</v>
      </c>
      <c r="I350" t="s">
        <v>72</v>
      </c>
      <c r="J350">
        <v>57</v>
      </c>
      <c r="K350" t="s">
        <v>21</v>
      </c>
      <c r="L350" t="s">
        <v>22</v>
      </c>
    </row>
    <row r="351" spans="1:12" x14ac:dyDescent="0.25">
      <c r="A351">
        <v>1350</v>
      </c>
      <c r="B351" s="1">
        <v>45748</v>
      </c>
      <c r="C351" t="s">
        <v>32</v>
      </c>
      <c r="D351" t="s">
        <v>12</v>
      </c>
      <c r="E351" t="s">
        <v>30</v>
      </c>
      <c r="F351">
        <v>993.3</v>
      </c>
      <c r="G351">
        <v>2</v>
      </c>
      <c r="H351" s="2">
        <f>Table3[[#This Row],[UnitPrice]]*Table3[Quantity]</f>
        <v>1986.6</v>
      </c>
      <c r="I351" t="s">
        <v>31</v>
      </c>
      <c r="J351">
        <v>25</v>
      </c>
      <c r="K351" t="s">
        <v>27</v>
      </c>
      <c r="L351" t="s">
        <v>16</v>
      </c>
    </row>
    <row r="352" spans="1:12" x14ac:dyDescent="0.25">
      <c r="A352">
        <v>1351</v>
      </c>
      <c r="B352" s="1">
        <v>45695</v>
      </c>
      <c r="C352" t="s">
        <v>32</v>
      </c>
      <c r="D352" t="s">
        <v>24</v>
      </c>
      <c r="E352" t="s">
        <v>38</v>
      </c>
      <c r="F352">
        <v>45.6</v>
      </c>
      <c r="G352">
        <v>1</v>
      </c>
      <c r="H352" s="2">
        <f>Table3[[#This Row],[UnitPrice]]*Table3[Quantity]</f>
        <v>45.6</v>
      </c>
      <c r="I352" t="s">
        <v>72</v>
      </c>
      <c r="J352">
        <v>37</v>
      </c>
      <c r="K352" t="s">
        <v>21</v>
      </c>
      <c r="L352" t="s">
        <v>16</v>
      </c>
    </row>
    <row r="353" spans="1:12" x14ac:dyDescent="0.25">
      <c r="A353">
        <v>1352</v>
      </c>
      <c r="B353" s="1">
        <v>45881</v>
      </c>
      <c r="C353" t="s">
        <v>17</v>
      </c>
      <c r="D353" t="s">
        <v>24</v>
      </c>
      <c r="E353" t="s">
        <v>38</v>
      </c>
      <c r="F353">
        <v>38.56</v>
      </c>
      <c r="G353">
        <v>5</v>
      </c>
      <c r="H353" s="2">
        <f>Table3[[#This Row],[UnitPrice]]*Table3[Quantity]</f>
        <v>192.8</v>
      </c>
      <c r="I353" t="s">
        <v>74</v>
      </c>
      <c r="J353">
        <v>57</v>
      </c>
      <c r="K353" t="s">
        <v>27</v>
      </c>
      <c r="L353" t="s">
        <v>22</v>
      </c>
    </row>
    <row r="354" spans="1:12" x14ac:dyDescent="0.25">
      <c r="A354">
        <v>1353</v>
      </c>
      <c r="B354" s="1">
        <v>45959</v>
      </c>
      <c r="C354" t="s">
        <v>11</v>
      </c>
      <c r="D354" t="s">
        <v>18</v>
      </c>
      <c r="E354" t="s">
        <v>19</v>
      </c>
      <c r="F354">
        <v>1127.3499999999999</v>
      </c>
      <c r="G354">
        <v>1</v>
      </c>
      <c r="H354" s="2">
        <f>Table3[[#This Row],[UnitPrice]]*Table3[Quantity]</f>
        <v>1127.3499999999999</v>
      </c>
      <c r="I354" t="s">
        <v>74</v>
      </c>
      <c r="J354">
        <v>54</v>
      </c>
      <c r="K354" t="s">
        <v>21</v>
      </c>
      <c r="L354" t="s">
        <v>16</v>
      </c>
    </row>
    <row r="355" spans="1:12" x14ac:dyDescent="0.25">
      <c r="A355">
        <v>1354</v>
      </c>
      <c r="B355" s="1">
        <v>45948</v>
      </c>
      <c r="C355" t="s">
        <v>11</v>
      </c>
      <c r="D355" t="s">
        <v>12</v>
      </c>
      <c r="E355" t="s">
        <v>13</v>
      </c>
      <c r="F355">
        <v>1160.52</v>
      </c>
      <c r="G355">
        <v>5</v>
      </c>
      <c r="H355" s="2">
        <f>Table3[[#This Row],[UnitPrice]]*Table3[Quantity]</f>
        <v>5802.6</v>
      </c>
      <c r="I355" t="s">
        <v>37</v>
      </c>
      <c r="J355">
        <v>58</v>
      </c>
      <c r="K355" t="s">
        <v>15</v>
      </c>
      <c r="L355" t="s">
        <v>16</v>
      </c>
    </row>
    <row r="356" spans="1:12" x14ac:dyDescent="0.25">
      <c r="A356">
        <v>1355</v>
      </c>
      <c r="B356" s="1">
        <v>45730</v>
      </c>
      <c r="C356" t="s">
        <v>32</v>
      </c>
      <c r="D356" t="s">
        <v>24</v>
      </c>
      <c r="E356" t="s">
        <v>43</v>
      </c>
      <c r="F356">
        <v>41.21</v>
      </c>
      <c r="G356">
        <v>3</v>
      </c>
      <c r="H356" s="2">
        <f>Table3[[#This Row],[UnitPrice]]*Table3[Quantity]</f>
        <v>123.63</v>
      </c>
      <c r="I356" t="s">
        <v>36</v>
      </c>
      <c r="J356">
        <v>58</v>
      </c>
      <c r="K356" t="s">
        <v>27</v>
      </c>
      <c r="L356" t="s">
        <v>22</v>
      </c>
    </row>
    <row r="357" spans="1:12" x14ac:dyDescent="0.25">
      <c r="A357">
        <v>1356</v>
      </c>
      <c r="B357" s="1">
        <v>46020</v>
      </c>
      <c r="C357" t="s">
        <v>17</v>
      </c>
      <c r="D357" t="s">
        <v>34</v>
      </c>
      <c r="E357" t="s">
        <v>35</v>
      </c>
      <c r="F357">
        <v>578.65</v>
      </c>
      <c r="G357">
        <v>3</v>
      </c>
      <c r="H357" s="2">
        <f>Table3[[#This Row],[UnitPrice]]*Table3[Quantity]</f>
        <v>1735.9499999999998</v>
      </c>
      <c r="I357" t="s">
        <v>33</v>
      </c>
      <c r="J357">
        <v>33</v>
      </c>
      <c r="K357" t="s">
        <v>15</v>
      </c>
      <c r="L357" t="s">
        <v>22</v>
      </c>
    </row>
    <row r="358" spans="1:12" x14ac:dyDescent="0.25">
      <c r="A358">
        <v>1357</v>
      </c>
      <c r="B358" s="1">
        <v>45713</v>
      </c>
      <c r="C358" t="s">
        <v>17</v>
      </c>
      <c r="D358" t="s">
        <v>12</v>
      </c>
      <c r="E358" t="s">
        <v>13</v>
      </c>
      <c r="F358">
        <v>919.11</v>
      </c>
      <c r="G358">
        <v>4</v>
      </c>
      <c r="H358" s="2">
        <f>Table3[[#This Row],[UnitPrice]]*Table3[Quantity]</f>
        <v>3676.44</v>
      </c>
      <c r="I358" t="s">
        <v>36</v>
      </c>
      <c r="J358">
        <v>44</v>
      </c>
      <c r="K358" t="s">
        <v>21</v>
      </c>
      <c r="L358" t="s">
        <v>22</v>
      </c>
    </row>
    <row r="359" spans="1:12" x14ac:dyDescent="0.25">
      <c r="A359">
        <v>1358</v>
      </c>
      <c r="B359" s="1">
        <v>45937</v>
      </c>
      <c r="C359" t="s">
        <v>32</v>
      </c>
      <c r="D359" t="s">
        <v>12</v>
      </c>
      <c r="E359" t="s">
        <v>13</v>
      </c>
      <c r="F359">
        <v>1094.3599999999999</v>
      </c>
      <c r="G359">
        <v>5</v>
      </c>
      <c r="H359" s="2">
        <f>Table3[[#This Row],[UnitPrice]]*Table3[Quantity]</f>
        <v>5471.7999999999993</v>
      </c>
      <c r="I359" t="s">
        <v>61</v>
      </c>
      <c r="J359">
        <v>61</v>
      </c>
      <c r="K359" t="s">
        <v>21</v>
      </c>
      <c r="L359" t="s">
        <v>22</v>
      </c>
    </row>
    <row r="360" spans="1:12" x14ac:dyDescent="0.25">
      <c r="A360">
        <v>1359</v>
      </c>
      <c r="B360" s="1">
        <v>45675</v>
      </c>
      <c r="C360" t="s">
        <v>32</v>
      </c>
      <c r="D360" t="s">
        <v>12</v>
      </c>
      <c r="E360" t="s">
        <v>13</v>
      </c>
      <c r="F360">
        <v>1175.83</v>
      </c>
      <c r="G360">
        <v>1</v>
      </c>
      <c r="H360" s="2">
        <f>Table3[[#This Row],[UnitPrice]]*Table3[Quantity]</f>
        <v>1175.83</v>
      </c>
      <c r="I360" t="s">
        <v>72</v>
      </c>
      <c r="J360">
        <v>28</v>
      </c>
      <c r="K360" t="s">
        <v>27</v>
      </c>
      <c r="L360" t="s">
        <v>22</v>
      </c>
    </row>
    <row r="361" spans="1:12" x14ac:dyDescent="0.25">
      <c r="A361">
        <v>1360</v>
      </c>
      <c r="B361" s="1">
        <v>45696</v>
      </c>
      <c r="C361" t="s">
        <v>17</v>
      </c>
      <c r="D361" t="s">
        <v>24</v>
      </c>
      <c r="E361" t="s">
        <v>43</v>
      </c>
      <c r="F361">
        <v>40.42</v>
      </c>
      <c r="G361">
        <v>5</v>
      </c>
      <c r="H361" s="2">
        <f>Table3[[#This Row],[UnitPrice]]*Table3[Quantity]</f>
        <v>202.10000000000002</v>
      </c>
      <c r="I361" t="s">
        <v>48</v>
      </c>
      <c r="J361">
        <v>63</v>
      </c>
      <c r="K361" t="s">
        <v>21</v>
      </c>
      <c r="L361" t="s">
        <v>16</v>
      </c>
    </row>
    <row r="362" spans="1:12" x14ac:dyDescent="0.25">
      <c r="A362">
        <v>1361</v>
      </c>
      <c r="B362" s="1">
        <v>45742</v>
      </c>
      <c r="C362" t="s">
        <v>17</v>
      </c>
      <c r="D362" t="s">
        <v>24</v>
      </c>
      <c r="E362" t="s">
        <v>43</v>
      </c>
      <c r="F362">
        <v>14.82</v>
      </c>
      <c r="G362">
        <v>3</v>
      </c>
      <c r="H362" s="2">
        <f>Table3[[#This Row],[UnitPrice]]*Table3[Quantity]</f>
        <v>44.46</v>
      </c>
      <c r="I362" t="s">
        <v>33</v>
      </c>
      <c r="J362">
        <v>30</v>
      </c>
      <c r="K362" t="s">
        <v>21</v>
      </c>
      <c r="L362" t="s">
        <v>28</v>
      </c>
    </row>
    <row r="363" spans="1:12" x14ac:dyDescent="0.25">
      <c r="A363">
        <v>1362</v>
      </c>
      <c r="B363" s="1">
        <v>45934</v>
      </c>
      <c r="C363" t="s">
        <v>32</v>
      </c>
      <c r="D363" t="s">
        <v>34</v>
      </c>
      <c r="E363" t="s">
        <v>35</v>
      </c>
      <c r="F363">
        <v>495.02</v>
      </c>
      <c r="G363">
        <v>1</v>
      </c>
      <c r="H363" s="2">
        <f>Table3[[#This Row],[UnitPrice]]*Table3[Quantity]</f>
        <v>495.02</v>
      </c>
      <c r="I363" t="s">
        <v>56</v>
      </c>
      <c r="J363">
        <v>54</v>
      </c>
      <c r="K363" t="s">
        <v>15</v>
      </c>
      <c r="L363" t="s">
        <v>22</v>
      </c>
    </row>
    <row r="364" spans="1:12" x14ac:dyDescent="0.25">
      <c r="A364">
        <v>1363</v>
      </c>
      <c r="B364" s="1">
        <v>45685</v>
      </c>
      <c r="C364" t="s">
        <v>32</v>
      </c>
      <c r="D364" t="s">
        <v>12</v>
      </c>
      <c r="E364" t="s">
        <v>30</v>
      </c>
      <c r="F364">
        <v>847.27</v>
      </c>
      <c r="G364">
        <v>5</v>
      </c>
      <c r="H364" s="2">
        <f>Table3[[#This Row],[UnitPrice]]*Table3[Quantity]</f>
        <v>4236.3500000000004</v>
      </c>
      <c r="I364" t="s">
        <v>48</v>
      </c>
      <c r="J364">
        <v>30</v>
      </c>
      <c r="K364" t="s">
        <v>21</v>
      </c>
      <c r="L364" t="s">
        <v>22</v>
      </c>
    </row>
    <row r="365" spans="1:12" x14ac:dyDescent="0.25">
      <c r="A365">
        <v>1364</v>
      </c>
      <c r="B365" s="1">
        <v>45984</v>
      </c>
      <c r="C365" t="s">
        <v>32</v>
      </c>
      <c r="D365" t="s">
        <v>24</v>
      </c>
      <c r="E365" t="s">
        <v>25</v>
      </c>
      <c r="F365">
        <v>85.94</v>
      </c>
      <c r="G365">
        <v>3</v>
      </c>
      <c r="H365" s="2">
        <f>Table3[[#This Row],[UnitPrice]]*Table3[Quantity]</f>
        <v>257.82</v>
      </c>
      <c r="I365" t="s">
        <v>56</v>
      </c>
      <c r="J365">
        <v>48</v>
      </c>
      <c r="K365" t="s">
        <v>21</v>
      </c>
      <c r="L365" t="s">
        <v>28</v>
      </c>
    </row>
    <row r="366" spans="1:12" x14ac:dyDescent="0.25">
      <c r="A366">
        <v>1365</v>
      </c>
      <c r="B366" s="1">
        <v>45704</v>
      </c>
      <c r="C366" t="s">
        <v>17</v>
      </c>
      <c r="D366" t="s">
        <v>18</v>
      </c>
      <c r="E366" t="s">
        <v>19</v>
      </c>
      <c r="F366">
        <v>1371.02</v>
      </c>
      <c r="G366">
        <v>4</v>
      </c>
      <c r="H366" s="2">
        <f>Table3[[#This Row],[UnitPrice]]*Table3[Quantity]</f>
        <v>5484.08</v>
      </c>
      <c r="I366" t="s">
        <v>75</v>
      </c>
      <c r="J366">
        <v>29</v>
      </c>
      <c r="K366" t="s">
        <v>21</v>
      </c>
      <c r="L366" t="s">
        <v>22</v>
      </c>
    </row>
    <row r="367" spans="1:12" x14ac:dyDescent="0.25">
      <c r="A367">
        <v>1366</v>
      </c>
      <c r="B367" s="1">
        <v>45896</v>
      </c>
      <c r="C367" t="s">
        <v>32</v>
      </c>
      <c r="D367" t="s">
        <v>12</v>
      </c>
      <c r="E367" t="s">
        <v>13</v>
      </c>
      <c r="F367">
        <v>982.12</v>
      </c>
      <c r="G367">
        <v>2</v>
      </c>
      <c r="H367" s="2">
        <f>Table3[[#This Row],[UnitPrice]]*Table3[Quantity]</f>
        <v>1964.24</v>
      </c>
      <c r="I367" t="s">
        <v>40</v>
      </c>
      <c r="J367">
        <v>62</v>
      </c>
      <c r="K367" t="s">
        <v>15</v>
      </c>
      <c r="L367" t="s">
        <v>22</v>
      </c>
    </row>
    <row r="368" spans="1:12" x14ac:dyDescent="0.25">
      <c r="A368">
        <v>1367</v>
      </c>
      <c r="B368" s="1">
        <v>45834</v>
      </c>
      <c r="C368" t="s">
        <v>17</v>
      </c>
      <c r="D368" t="s">
        <v>18</v>
      </c>
      <c r="E368" t="s">
        <v>19</v>
      </c>
      <c r="F368">
        <v>1553.6</v>
      </c>
      <c r="G368">
        <v>4</v>
      </c>
      <c r="H368" s="2">
        <f>Table3[[#This Row],[UnitPrice]]*Table3[Quantity]</f>
        <v>6214.4</v>
      </c>
      <c r="I368" t="s">
        <v>76</v>
      </c>
      <c r="J368">
        <v>44</v>
      </c>
      <c r="K368" t="s">
        <v>27</v>
      </c>
      <c r="L368" t="s">
        <v>28</v>
      </c>
    </row>
    <row r="369" spans="1:12" x14ac:dyDescent="0.25">
      <c r="A369">
        <v>1368</v>
      </c>
      <c r="B369" s="1">
        <v>45901</v>
      </c>
      <c r="C369" t="s">
        <v>17</v>
      </c>
      <c r="D369" t="s">
        <v>24</v>
      </c>
      <c r="E369" t="s">
        <v>25</v>
      </c>
      <c r="F369">
        <v>36.9</v>
      </c>
      <c r="G369">
        <v>4</v>
      </c>
      <c r="H369" s="2">
        <f>Table3[[#This Row],[UnitPrice]]*Table3[Quantity]</f>
        <v>147.6</v>
      </c>
      <c r="I369" t="s">
        <v>78</v>
      </c>
      <c r="J369">
        <v>20</v>
      </c>
      <c r="K369" t="s">
        <v>15</v>
      </c>
      <c r="L369" t="s">
        <v>16</v>
      </c>
    </row>
    <row r="370" spans="1:12" x14ac:dyDescent="0.25">
      <c r="A370">
        <v>1369</v>
      </c>
      <c r="B370" s="1">
        <v>45950</v>
      </c>
      <c r="C370" t="s">
        <v>17</v>
      </c>
      <c r="D370" t="s">
        <v>24</v>
      </c>
      <c r="E370" t="s">
        <v>43</v>
      </c>
      <c r="F370">
        <v>20.83</v>
      </c>
      <c r="G370">
        <v>4</v>
      </c>
      <c r="H370" s="2">
        <f>Table3[[#This Row],[UnitPrice]]*Table3[Quantity]</f>
        <v>83.32</v>
      </c>
      <c r="I370" t="s">
        <v>69</v>
      </c>
      <c r="J370">
        <v>28</v>
      </c>
      <c r="K370" t="s">
        <v>27</v>
      </c>
      <c r="L370" t="s">
        <v>16</v>
      </c>
    </row>
    <row r="371" spans="1:12" x14ac:dyDescent="0.25">
      <c r="A371">
        <v>1370</v>
      </c>
      <c r="B371" s="1">
        <v>45722</v>
      </c>
      <c r="C371" t="s">
        <v>11</v>
      </c>
      <c r="D371" t="s">
        <v>18</v>
      </c>
      <c r="E371" t="s">
        <v>19</v>
      </c>
      <c r="F371">
        <v>1201.92</v>
      </c>
      <c r="G371">
        <v>2</v>
      </c>
      <c r="H371" s="2">
        <f>Table3[[#This Row],[UnitPrice]]*Table3[Quantity]</f>
        <v>2403.84</v>
      </c>
      <c r="I371" t="s">
        <v>63</v>
      </c>
      <c r="J371">
        <v>34</v>
      </c>
      <c r="K371" t="s">
        <v>21</v>
      </c>
      <c r="L371" t="s">
        <v>28</v>
      </c>
    </row>
    <row r="372" spans="1:12" x14ac:dyDescent="0.25">
      <c r="A372">
        <v>1371</v>
      </c>
      <c r="B372" s="1">
        <v>45692</v>
      </c>
      <c r="C372" t="s">
        <v>11</v>
      </c>
      <c r="D372" t="s">
        <v>18</v>
      </c>
      <c r="E372" t="s">
        <v>19</v>
      </c>
      <c r="F372">
        <v>1552.05</v>
      </c>
      <c r="G372">
        <v>3</v>
      </c>
      <c r="H372" s="2">
        <f>Table3[[#This Row],[UnitPrice]]*Table3[Quantity]</f>
        <v>4656.1499999999996</v>
      </c>
      <c r="I372" t="s">
        <v>76</v>
      </c>
      <c r="J372">
        <v>47</v>
      </c>
      <c r="K372" t="s">
        <v>27</v>
      </c>
      <c r="L372" t="s">
        <v>22</v>
      </c>
    </row>
    <row r="373" spans="1:12" x14ac:dyDescent="0.25">
      <c r="A373">
        <v>1372</v>
      </c>
      <c r="B373" s="1">
        <v>46016</v>
      </c>
      <c r="C373" t="s">
        <v>17</v>
      </c>
      <c r="D373" t="s">
        <v>34</v>
      </c>
      <c r="E373" t="s">
        <v>35</v>
      </c>
      <c r="F373">
        <v>445.01</v>
      </c>
      <c r="G373">
        <v>2</v>
      </c>
      <c r="H373" s="2">
        <f>Table3[[#This Row],[UnitPrice]]*Table3[Quantity]</f>
        <v>890.02</v>
      </c>
      <c r="I373" t="s">
        <v>77</v>
      </c>
      <c r="J373">
        <v>54</v>
      </c>
      <c r="K373" t="s">
        <v>15</v>
      </c>
      <c r="L373" t="s">
        <v>28</v>
      </c>
    </row>
    <row r="374" spans="1:12" x14ac:dyDescent="0.25">
      <c r="A374">
        <v>1373</v>
      </c>
      <c r="B374" s="1">
        <v>45709</v>
      </c>
      <c r="C374" t="s">
        <v>11</v>
      </c>
      <c r="D374" t="s">
        <v>34</v>
      </c>
      <c r="E374" t="s">
        <v>35</v>
      </c>
      <c r="F374">
        <v>714.3</v>
      </c>
      <c r="G374">
        <v>5</v>
      </c>
      <c r="H374" s="2">
        <f>Table3[[#This Row],[UnitPrice]]*Table3[Quantity]</f>
        <v>3571.5</v>
      </c>
      <c r="I374" t="s">
        <v>70</v>
      </c>
      <c r="J374">
        <v>44</v>
      </c>
      <c r="K374" t="s">
        <v>21</v>
      </c>
      <c r="L374" t="s">
        <v>28</v>
      </c>
    </row>
    <row r="375" spans="1:12" x14ac:dyDescent="0.25">
      <c r="A375">
        <v>1374</v>
      </c>
      <c r="B375" s="1">
        <v>45950</v>
      </c>
      <c r="C375" t="s">
        <v>17</v>
      </c>
      <c r="D375" t="s">
        <v>18</v>
      </c>
      <c r="E375" t="s">
        <v>19</v>
      </c>
      <c r="F375">
        <v>1275.4100000000001</v>
      </c>
      <c r="G375">
        <v>2</v>
      </c>
      <c r="H375" s="2">
        <f>Table3[[#This Row],[UnitPrice]]*Table3[Quantity]</f>
        <v>2550.8200000000002</v>
      </c>
      <c r="I375" t="s">
        <v>60</v>
      </c>
      <c r="J375">
        <v>56</v>
      </c>
      <c r="K375" t="s">
        <v>15</v>
      </c>
      <c r="L375" t="s">
        <v>22</v>
      </c>
    </row>
    <row r="376" spans="1:12" x14ac:dyDescent="0.25">
      <c r="A376">
        <v>1375</v>
      </c>
      <c r="B376" s="1">
        <v>45860</v>
      </c>
      <c r="C376" t="s">
        <v>32</v>
      </c>
      <c r="D376" t="s">
        <v>34</v>
      </c>
      <c r="E376" t="s">
        <v>35</v>
      </c>
      <c r="F376">
        <v>698.3</v>
      </c>
      <c r="G376">
        <v>3</v>
      </c>
      <c r="H376" s="2">
        <f>Table3[[#This Row],[UnitPrice]]*Table3[Quantity]</f>
        <v>2094.8999999999996</v>
      </c>
      <c r="I376" t="s">
        <v>75</v>
      </c>
      <c r="J376">
        <v>19</v>
      </c>
      <c r="K376" t="s">
        <v>21</v>
      </c>
      <c r="L376" t="s">
        <v>28</v>
      </c>
    </row>
    <row r="377" spans="1:12" x14ac:dyDescent="0.25">
      <c r="A377">
        <v>1376</v>
      </c>
      <c r="B377" s="1">
        <v>45817</v>
      </c>
      <c r="C377" t="s">
        <v>32</v>
      </c>
      <c r="D377" t="s">
        <v>24</v>
      </c>
      <c r="E377" t="s">
        <v>38</v>
      </c>
      <c r="F377">
        <v>71.64</v>
      </c>
      <c r="G377">
        <v>2</v>
      </c>
      <c r="H377" s="2">
        <f>Table3[[#This Row],[UnitPrice]]*Table3[Quantity]</f>
        <v>143.28</v>
      </c>
      <c r="I377" t="s">
        <v>64</v>
      </c>
      <c r="J377">
        <v>37</v>
      </c>
      <c r="K377" t="s">
        <v>27</v>
      </c>
      <c r="L377" t="s">
        <v>22</v>
      </c>
    </row>
    <row r="378" spans="1:12" x14ac:dyDescent="0.25">
      <c r="A378">
        <v>1377</v>
      </c>
      <c r="B378" s="1">
        <v>45822</v>
      </c>
      <c r="C378" t="s">
        <v>32</v>
      </c>
      <c r="D378" t="s">
        <v>24</v>
      </c>
      <c r="E378" t="s">
        <v>38</v>
      </c>
      <c r="F378">
        <v>68.099999999999994</v>
      </c>
      <c r="G378">
        <v>2</v>
      </c>
      <c r="H378" s="2">
        <f>Table3[[#This Row],[UnitPrice]]*Table3[Quantity]</f>
        <v>136.19999999999999</v>
      </c>
      <c r="I378" t="s">
        <v>47</v>
      </c>
      <c r="J378">
        <v>31</v>
      </c>
      <c r="K378" t="s">
        <v>27</v>
      </c>
      <c r="L378" t="s">
        <v>22</v>
      </c>
    </row>
    <row r="379" spans="1:12" x14ac:dyDescent="0.25">
      <c r="A379">
        <v>1378</v>
      </c>
      <c r="B379" s="1">
        <v>45906</v>
      </c>
      <c r="C379" t="s">
        <v>17</v>
      </c>
      <c r="D379" t="s">
        <v>24</v>
      </c>
      <c r="E379" t="s">
        <v>43</v>
      </c>
      <c r="F379">
        <v>56.37</v>
      </c>
      <c r="G379">
        <v>2</v>
      </c>
      <c r="H379" s="2">
        <f>Table3[[#This Row],[UnitPrice]]*Table3[Quantity]</f>
        <v>112.74</v>
      </c>
      <c r="I379" t="s">
        <v>52</v>
      </c>
      <c r="J379">
        <v>37</v>
      </c>
      <c r="K379" t="s">
        <v>27</v>
      </c>
      <c r="L379" t="s">
        <v>22</v>
      </c>
    </row>
    <row r="380" spans="1:12" x14ac:dyDescent="0.25">
      <c r="A380">
        <v>1379</v>
      </c>
      <c r="B380" s="1">
        <v>45926</v>
      </c>
      <c r="C380" t="s">
        <v>17</v>
      </c>
      <c r="D380" t="s">
        <v>12</v>
      </c>
      <c r="E380" t="s">
        <v>30</v>
      </c>
      <c r="F380">
        <v>1137.5899999999999</v>
      </c>
      <c r="G380">
        <v>2</v>
      </c>
      <c r="H380" s="2">
        <f>Table3[[#This Row],[UnitPrice]]*Table3[Quantity]</f>
        <v>2275.1799999999998</v>
      </c>
      <c r="I380" t="s">
        <v>50</v>
      </c>
      <c r="J380">
        <v>33</v>
      </c>
      <c r="K380" t="s">
        <v>21</v>
      </c>
      <c r="L380" t="s">
        <v>22</v>
      </c>
    </row>
    <row r="381" spans="1:12" x14ac:dyDescent="0.25">
      <c r="A381">
        <v>1380</v>
      </c>
      <c r="B381" s="1">
        <v>45842</v>
      </c>
      <c r="C381" t="s">
        <v>17</v>
      </c>
      <c r="D381" t="s">
        <v>12</v>
      </c>
      <c r="E381" t="s">
        <v>13</v>
      </c>
      <c r="F381">
        <v>1111.75</v>
      </c>
      <c r="G381">
        <v>5</v>
      </c>
      <c r="H381" s="2">
        <f>Table3[[#This Row],[UnitPrice]]*Table3[Quantity]</f>
        <v>5558.75</v>
      </c>
      <c r="I381" t="s">
        <v>56</v>
      </c>
      <c r="J381">
        <v>58</v>
      </c>
      <c r="K381" t="s">
        <v>27</v>
      </c>
      <c r="L381" t="s">
        <v>28</v>
      </c>
    </row>
    <row r="382" spans="1:12" x14ac:dyDescent="0.25">
      <c r="A382">
        <v>1381</v>
      </c>
      <c r="B382" s="1">
        <v>45781</v>
      </c>
      <c r="C382" t="s">
        <v>32</v>
      </c>
      <c r="D382" t="s">
        <v>18</v>
      </c>
      <c r="E382" t="s">
        <v>19</v>
      </c>
      <c r="F382">
        <v>1177.58</v>
      </c>
      <c r="G382">
        <v>4</v>
      </c>
      <c r="H382" s="2">
        <f>Table3[[#This Row],[UnitPrice]]*Table3[Quantity]</f>
        <v>4710.32</v>
      </c>
      <c r="I382" t="s">
        <v>54</v>
      </c>
      <c r="J382">
        <v>53</v>
      </c>
      <c r="K382" t="s">
        <v>21</v>
      </c>
      <c r="L382" t="s">
        <v>22</v>
      </c>
    </row>
    <row r="383" spans="1:12" x14ac:dyDescent="0.25">
      <c r="A383">
        <v>1382</v>
      </c>
      <c r="B383" s="1">
        <v>45790</v>
      </c>
      <c r="C383" t="s">
        <v>17</v>
      </c>
      <c r="D383" t="s">
        <v>24</v>
      </c>
      <c r="E383" t="s">
        <v>43</v>
      </c>
      <c r="F383">
        <v>35.659999999999997</v>
      </c>
      <c r="G383">
        <v>4</v>
      </c>
      <c r="H383" s="2">
        <f>Table3[[#This Row],[UnitPrice]]*Table3[Quantity]</f>
        <v>142.63999999999999</v>
      </c>
      <c r="I383" t="s">
        <v>50</v>
      </c>
      <c r="J383">
        <v>28</v>
      </c>
      <c r="K383" t="s">
        <v>27</v>
      </c>
      <c r="L383" t="s">
        <v>28</v>
      </c>
    </row>
    <row r="384" spans="1:12" x14ac:dyDescent="0.25">
      <c r="A384">
        <v>1383</v>
      </c>
      <c r="B384" s="1">
        <v>45767</v>
      </c>
      <c r="C384" t="s">
        <v>11</v>
      </c>
      <c r="D384" t="s">
        <v>34</v>
      </c>
      <c r="E384" t="s">
        <v>35</v>
      </c>
      <c r="F384">
        <v>507.63</v>
      </c>
      <c r="G384">
        <v>4</v>
      </c>
      <c r="H384" s="2">
        <f>Table3[[#This Row],[UnitPrice]]*Table3[Quantity]</f>
        <v>2030.52</v>
      </c>
      <c r="I384" t="s">
        <v>20</v>
      </c>
      <c r="J384">
        <v>19</v>
      </c>
      <c r="K384" t="s">
        <v>27</v>
      </c>
      <c r="L384" t="s">
        <v>16</v>
      </c>
    </row>
    <row r="385" spans="1:12" x14ac:dyDescent="0.25">
      <c r="A385">
        <v>1384</v>
      </c>
      <c r="B385" s="1">
        <v>46007</v>
      </c>
      <c r="C385" t="s">
        <v>11</v>
      </c>
      <c r="D385" t="s">
        <v>18</v>
      </c>
      <c r="E385" t="s">
        <v>19</v>
      </c>
      <c r="F385">
        <v>1647.37</v>
      </c>
      <c r="G385">
        <v>5</v>
      </c>
      <c r="H385" s="2">
        <f>Table3[[#This Row],[UnitPrice]]*Table3[Quantity]</f>
        <v>8236.8499999999985</v>
      </c>
      <c r="I385" t="s">
        <v>23</v>
      </c>
      <c r="J385">
        <v>32</v>
      </c>
      <c r="K385" t="s">
        <v>21</v>
      </c>
      <c r="L385" t="s">
        <v>16</v>
      </c>
    </row>
    <row r="386" spans="1:12" x14ac:dyDescent="0.25">
      <c r="A386">
        <v>1385</v>
      </c>
      <c r="B386" s="1">
        <v>45814</v>
      </c>
      <c r="C386" t="s">
        <v>17</v>
      </c>
      <c r="D386" t="s">
        <v>24</v>
      </c>
      <c r="E386" t="s">
        <v>38</v>
      </c>
      <c r="F386">
        <v>34.78</v>
      </c>
      <c r="G386">
        <v>4</v>
      </c>
      <c r="H386" s="2">
        <f>Table3[[#This Row],[UnitPrice]]*Table3[Quantity]</f>
        <v>139.12</v>
      </c>
      <c r="I386" t="s">
        <v>70</v>
      </c>
      <c r="J386">
        <v>47</v>
      </c>
      <c r="K386" t="s">
        <v>21</v>
      </c>
      <c r="L386" t="s">
        <v>22</v>
      </c>
    </row>
    <row r="387" spans="1:12" x14ac:dyDescent="0.25">
      <c r="A387">
        <v>1386</v>
      </c>
      <c r="B387" s="1">
        <v>46004</v>
      </c>
      <c r="C387" t="s">
        <v>17</v>
      </c>
      <c r="D387" t="s">
        <v>24</v>
      </c>
      <c r="E387" t="s">
        <v>25</v>
      </c>
      <c r="F387">
        <v>62.6</v>
      </c>
      <c r="G387">
        <v>1</v>
      </c>
      <c r="H387" s="2">
        <f>Table3[[#This Row],[UnitPrice]]*Table3[Quantity]</f>
        <v>62.6</v>
      </c>
      <c r="I387" t="s">
        <v>20</v>
      </c>
      <c r="J387">
        <v>60</v>
      </c>
      <c r="K387" t="s">
        <v>27</v>
      </c>
      <c r="L387" t="s">
        <v>16</v>
      </c>
    </row>
    <row r="388" spans="1:12" x14ac:dyDescent="0.25">
      <c r="A388">
        <v>1387</v>
      </c>
      <c r="B388" s="1">
        <v>45945</v>
      </c>
      <c r="C388" t="s">
        <v>17</v>
      </c>
      <c r="D388" t="s">
        <v>34</v>
      </c>
      <c r="E388" t="s">
        <v>35</v>
      </c>
      <c r="F388">
        <v>519.39</v>
      </c>
      <c r="G388">
        <v>1</v>
      </c>
      <c r="H388" s="2">
        <f>Table3[[#This Row],[UnitPrice]]*Table3[Quantity]</f>
        <v>519.39</v>
      </c>
      <c r="I388" t="s">
        <v>48</v>
      </c>
      <c r="J388">
        <v>22</v>
      </c>
      <c r="K388" t="s">
        <v>21</v>
      </c>
      <c r="L388" t="s">
        <v>22</v>
      </c>
    </row>
    <row r="389" spans="1:12" x14ac:dyDescent="0.25">
      <c r="A389">
        <v>1388</v>
      </c>
      <c r="B389" s="1">
        <v>45824</v>
      </c>
      <c r="C389" t="s">
        <v>32</v>
      </c>
      <c r="D389" t="s">
        <v>12</v>
      </c>
      <c r="E389" t="s">
        <v>13</v>
      </c>
      <c r="F389">
        <v>794.18</v>
      </c>
      <c r="G389">
        <v>5</v>
      </c>
      <c r="H389" s="2">
        <f>Table3[[#This Row],[UnitPrice]]*Table3[Quantity]</f>
        <v>3970.8999999999996</v>
      </c>
      <c r="I389" t="s">
        <v>40</v>
      </c>
      <c r="J389">
        <v>33</v>
      </c>
      <c r="K389" t="s">
        <v>27</v>
      </c>
      <c r="L389" t="s">
        <v>16</v>
      </c>
    </row>
    <row r="390" spans="1:12" x14ac:dyDescent="0.25">
      <c r="A390">
        <v>1389</v>
      </c>
      <c r="B390" s="1">
        <v>45965</v>
      </c>
      <c r="C390" t="s">
        <v>32</v>
      </c>
      <c r="D390" t="s">
        <v>34</v>
      </c>
      <c r="E390" t="s">
        <v>35</v>
      </c>
      <c r="F390">
        <v>688.51</v>
      </c>
      <c r="G390">
        <v>4</v>
      </c>
      <c r="H390" s="2">
        <f>Table3[[#This Row],[UnitPrice]]*Table3[Quantity]</f>
        <v>2754.04</v>
      </c>
      <c r="I390" t="s">
        <v>49</v>
      </c>
      <c r="J390">
        <v>34</v>
      </c>
      <c r="K390" t="s">
        <v>27</v>
      </c>
      <c r="L390" t="s">
        <v>22</v>
      </c>
    </row>
    <row r="391" spans="1:12" x14ac:dyDescent="0.25">
      <c r="A391">
        <v>1390</v>
      </c>
      <c r="B391" s="1">
        <v>45676</v>
      </c>
      <c r="C391" t="s">
        <v>17</v>
      </c>
      <c r="D391" t="s">
        <v>24</v>
      </c>
      <c r="E391" t="s">
        <v>38</v>
      </c>
      <c r="F391">
        <v>83.44</v>
      </c>
      <c r="G391">
        <v>3</v>
      </c>
      <c r="H391" s="2">
        <f>Table3[[#This Row],[UnitPrice]]*Table3[Quantity]</f>
        <v>250.32</v>
      </c>
      <c r="I391" t="s">
        <v>45</v>
      </c>
      <c r="J391">
        <v>63</v>
      </c>
      <c r="K391" t="s">
        <v>21</v>
      </c>
      <c r="L391" t="s">
        <v>28</v>
      </c>
    </row>
    <row r="392" spans="1:12" x14ac:dyDescent="0.25">
      <c r="A392">
        <v>1391</v>
      </c>
      <c r="B392" s="1">
        <v>45901</v>
      </c>
      <c r="C392" t="s">
        <v>17</v>
      </c>
      <c r="D392" t="s">
        <v>18</v>
      </c>
      <c r="E392" t="s">
        <v>19</v>
      </c>
      <c r="F392">
        <v>1845.42</v>
      </c>
      <c r="G392">
        <v>5</v>
      </c>
      <c r="H392" s="2">
        <f>Table3[[#This Row],[UnitPrice]]*Table3[Quantity]</f>
        <v>9227.1</v>
      </c>
      <c r="I392" t="s">
        <v>69</v>
      </c>
      <c r="J392">
        <v>36</v>
      </c>
      <c r="K392" t="s">
        <v>21</v>
      </c>
      <c r="L392" t="s">
        <v>22</v>
      </c>
    </row>
    <row r="393" spans="1:12" x14ac:dyDescent="0.25">
      <c r="A393">
        <v>1392</v>
      </c>
      <c r="B393" s="1">
        <v>45790</v>
      </c>
      <c r="C393" t="s">
        <v>17</v>
      </c>
      <c r="D393" t="s">
        <v>24</v>
      </c>
      <c r="E393" t="s">
        <v>43</v>
      </c>
      <c r="F393">
        <v>95.22</v>
      </c>
      <c r="G393">
        <v>3</v>
      </c>
      <c r="H393" s="2">
        <f>Table3[[#This Row],[UnitPrice]]*Table3[Quantity]</f>
        <v>285.65999999999997</v>
      </c>
      <c r="I393" t="s">
        <v>61</v>
      </c>
      <c r="J393">
        <v>23</v>
      </c>
      <c r="K393" t="s">
        <v>21</v>
      </c>
      <c r="L393" t="s">
        <v>22</v>
      </c>
    </row>
    <row r="394" spans="1:12" x14ac:dyDescent="0.25">
      <c r="A394">
        <v>1393</v>
      </c>
      <c r="B394" s="1">
        <v>45815</v>
      </c>
      <c r="C394" t="s">
        <v>32</v>
      </c>
      <c r="D394" t="s">
        <v>24</v>
      </c>
      <c r="E394" t="s">
        <v>25</v>
      </c>
      <c r="F394">
        <v>43.45</v>
      </c>
      <c r="G394">
        <v>5</v>
      </c>
      <c r="H394" s="2">
        <f>Table3[[#This Row],[UnitPrice]]*Table3[Quantity]</f>
        <v>217.25</v>
      </c>
      <c r="I394" t="s">
        <v>49</v>
      </c>
      <c r="J394">
        <v>47</v>
      </c>
      <c r="K394" t="s">
        <v>27</v>
      </c>
      <c r="L394" t="s">
        <v>22</v>
      </c>
    </row>
    <row r="395" spans="1:12" x14ac:dyDescent="0.25">
      <c r="A395">
        <v>1394</v>
      </c>
      <c r="B395" s="1">
        <v>45982</v>
      </c>
      <c r="C395" t="s">
        <v>17</v>
      </c>
      <c r="D395" t="s">
        <v>34</v>
      </c>
      <c r="E395" t="s">
        <v>35</v>
      </c>
      <c r="F395">
        <v>588.89</v>
      </c>
      <c r="G395">
        <v>2</v>
      </c>
      <c r="H395" s="2">
        <f>Table3[[#This Row],[UnitPrice]]*Table3[Quantity]</f>
        <v>1177.78</v>
      </c>
      <c r="I395" t="s">
        <v>20</v>
      </c>
      <c r="J395">
        <v>25</v>
      </c>
      <c r="K395" t="s">
        <v>27</v>
      </c>
      <c r="L395" t="s">
        <v>22</v>
      </c>
    </row>
    <row r="396" spans="1:12" x14ac:dyDescent="0.25">
      <c r="A396">
        <v>1395</v>
      </c>
      <c r="B396" s="1">
        <v>45810</v>
      </c>
      <c r="C396" t="s">
        <v>32</v>
      </c>
      <c r="D396" t="s">
        <v>12</v>
      </c>
      <c r="E396" t="s">
        <v>30</v>
      </c>
      <c r="F396">
        <v>768.68</v>
      </c>
      <c r="G396">
        <v>2</v>
      </c>
      <c r="H396" s="2">
        <f>Table3[[#This Row],[UnitPrice]]*Table3[Quantity]</f>
        <v>1537.36</v>
      </c>
      <c r="I396" t="s">
        <v>72</v>
      </c>
      <c r="J396">
        <v>44</v>
      </c>
      <c r="K396" t="s">
        <v>27</v>
      </c>
      <c r="L396" t="s">
        <v>16</v>
      </c>
    </row>
    <row r="397" spans="1:12" x14ac:dyDescent="0.25">
      <c r="A397">
        <v>1396</v>
      </c>
      <c r="B397" s="1">
        <v>45892</v>
      </c>
      <c r="C397" t="s">
        <v>11</v>
      </c>
      <c r="D397" t="s">
        <v>18</v>
      </c>
      <c r="E397" t="s">
        <v>19</v>
      </c>
      <c r="F397">
        <v>1778.94</v>
      </c>
      <c r="G397">
        <v>4</v>
      </c>
      <c r="H397" s="2">
        <f>Table3[[#This Row],[UnitPrice]]*Table3[Quantity]</f>
        <v>7115.76</v>
      </c>
      <c r="I397" t="s">
        <v>72</v>
      </c>
      <c r="J397">
        <v>58</v>
      </c>
      <c r="K397" t="s">
        <v>27</v>
      </c>
      <c r="L397" t="s">
        <v>22</v>
      </c>
    </row>
    <row r="398" spans="1:12" x14ac:dyDescent="0.25">
      <c r="A398">
        <v>1397</v>
      </c>
      <c r="B398" s="1">
        <v>45687</v>
      </c>
      <c r="C398" t="s">
        <v>11</v>
      </c>
      <c r="D398" t="s">
        <v>18</v>
      </c>
      <c r="E398" t="s">
        <v>19</v>
      </c>
      <c r="F398">
        <v>1761.19</v>
      </c>
      <c r="G398">
        <v>2</v>
      </c>
      <c r="H398" s="2">
        <f>Table3[[#This Row],[UnitPrice]]*Table3[Quantity]</f>
        <v>3522.38</v>
      </c>
      <c r="I398" t="s">
        <v>67</v>
      </c>
      <c r="J398">
        <v>28</v>
      </c>
      <c r="K398" t="s">
        <v>21</v>
      </c>
      <c r="L398" t="s">
        <v>28</v>
      </c>
    </row>
    <row r="399" spans="1:12" x14ac:dyDescent="0.25">
      <c r="A399">
        <v>1398</v>
      </c>
      <c r="B399" s="1">
        <v>45703</v>
      </c>
      <c r="C399" t="s">
        <v>11</v>
      </c>
      <c r="D399" t="s">
        <v>34</v>
      </c>
      <c r="E399" t="s">
        <v>35</v>
      </c>
      <c r="F399">
        <v>561.36</v>
      </c>
      <c r="G399">
        <v>4</v>
      </c>
      <c r="H399" s="2">
        <f>Table3[[#This Row],[UnitPrice]]*Table3[Quantity]</f>
        <v>2245.44</v>
      </c>
      <c r="I399" t="s">
        <v>71</v>
      </c>
      <c r="J399">
        <v>18</v>
      </c>
      <c r="K399" t="s">
        <v>21</v>
      </c>
      <c r="L399" t="s">
        <v>22</v>
      </c>
    </row>
    <row r="400" spans="1:12" x14ac:dyDescent="0.25">
      <c r="A400">
        <v>1399</v>
      </c>
      <c r="B400" s="1">
        <v>45849</v>
      </c>
      <c r="C400" t="s">
        <v>11</v>
      </c>
      <c r="D400" t="s">
        <v>24</v>
      </c>
      <c r="E400" t="s">
        <v>38</v>
      </c>
      <c r="F400">
        <v>27.15</v>
      </c>
      <c r="G400">
        <v>1</v>
      </c>
      <c r="H400" s="2">
        <f>Table3[[#This Row],[UnitPrice]]*Table3[Quantity]</f>
        <v>27.15</v>
      </c>
      <c r="I400" t="s">
        <v>80</v>
      </c>
      <c r="J400">
        <v>64</v>
      </c>
      <c r="K400" t="s">
        <v>21</v>
      </c>
      <c r="L400" t="s">
        <v>28</v>
      </c>
    </row>
    <row r="401" spans="1:12" x14ac:dyDescent="0.25">
      <c r="A401">
        <v>1400</v>
      </c>
      <c r="B401" s="1">
        <v>45834</v>
      </c>
      <c r="C401" t="s">
        <v>32</v>
      </c>
      <c r="D401" t="s">
        <v>12</v>
      </c>
      <c r="E401" t="s">
        <v>13</v>
      </c>
      <c r="F401">
        <v>951.67</v>
      </c>
      <c r="G401">
        <v>3</v>
      </c>
      <c r="H401" s="2">
        <f>Table3[[#This Row],[UnitPrice]]*Table3[Quantity]</f>
        <v>2855.0099999999998</v>
      </c>
      <c r="I401" t="s">
        <v>36</v>
      </c>
      <c r="J401">
        <v>22</v>
      </c>
      <c r="K401" t="s">
        <v>27</v>
      </c>
      <c r="L401" t="s">
        <v>22</v>
      </c>
    </row>
    <row r="402" spans="1:12" x14ac:dyDescent="0.25">
      <c r="A402">
        <v>1401</v>
      </c>
      <c r="B402" s="1">
        <v>45806</v>
      </c>
      <c r="C402" t="s">
        <v>32</v>
      </c>
      <c r="D402" t="s">
        <v>24</v>
      </c>
      <c r="E402" t="s">
        <v>38</v>
      </c>
      <c r="F402">
        <v>57.17</v>
      </c>
      <c r="G402">
        <v>4</v>
      </c>
      <c r="H402" s="2">
        <f>Table3[[#This Row],[UnitPrice]]*Table3[Quantity]</f>
        <v>228.68</v>
      </c>
      <c r="I402" t="s">
        <v>55</v>
      </c>
      <c r="J402">
        <v>26</v>
      </c>
      <c r="K402" t="s">
        <v>21</v>
      </c>
      <c r="L402" t="s">
        <v>16</v>
      </c>
    </row>
    <row r="403" spans="1:12" x14ac:dyDescent="0.25">
      <c r="A403">
        <v>1402</v>
      </c>
      <c r="B403" s="1">
        <v>45841</v>
      </c>
      <c r="C403" t="s">
        <v>11</v>
      </c>
      <c r="D403" t="s">
        <v>12</v>
      </c>
      <c r="E403" t="s">
        <v>13</v>
      </c>
      <c r="F403">
        <v>709.56</v>
      </c>
      <c r="G403">
        <v>2</v>
      </c>
      <c r="H403" s="2">
        <f>Table3[[#This Row],[UnitPrice]]*Table3[Quantity]</f>
        <v>1419.12</v>
      </c>
      <c r="I403" t="s">
        <v>45</v>
      </c>
      <c r="J403">
        <v>26</v>
      </c>
      <c r="K403" t="s">
        <v>21</v>
      </c>
      <c r="L403" t="s">
        <v>22</v>
      </c>
    </row>
    <row r="404" spans="1:12" x14ac:dyDescent="0.25">
      <c r="A404">
        <v>1403</v>
      </c>
      <c r="B404" s="1">
        <v>45916</v>
      </c>
      <c r="C404" t="s">
        <v>11</v>
      </c>
      <c r="D404" t="s">
        <v>12</v>
      </c>
      <c r="E404" t="s">
        <v>30</v>
      </c>
      <c r="F404">
        <v>887.6</v>
      </c>
      <c r="G404">
        <v>3</v>
      </c>
      <c r="H404" s="2">
        <f>Table3[[#This Row],[UnitPrice]]*Table3[Quantity]</f>
        <v>2662.8</v>
      </c>
      <c r="I404" t="s">
        <v>31</v>
      </c>
      <c r="J404">
        <v>52</v>
      </c>
      <c r="K404" t="s">
        <v>15</v>
      </c>
      <c r="L404" t="s">
        <v>28</v>
      </c>
    </row>
    <row r="405" spans="1:12" x14ac:dyDescent="0.25">
      <c r="A405">
        <v>1404</v>
      </c>
      <c r="B405" s="1">
        <v>45682</v>
      </c>
      <c r="C405" t="s">
        <v>17</v>
      </c>
      <c r="D405" t="s">
        <v>12</v>
      </c>
      <c r="E405" t="s">
        <v>30</v>
      </c>
      <c r="F405">
        <v>724.12</v>
      </c>
      <c r="G405">
        <v>1</v>
      </c>
      <c r="H405" s="2">
        <f>Table3[[#This Row],[UnitPrice]]*Table3[Quantity]</f>
        <v>724.12</v>
      </c>
      <c r="I405" t="s">
        <v>65</v>
      </c>
      <c r="J405">
        <v>46</v>
      </c>
      <c r="K405" t="s">
        <v>21</v>
      </c>
      <c r="L405" t="s">
        <v>28</v>
      </c>
    </row>
    <row r="406" spans="1:12" x14ac:dyDescent="0.25">
      <c r="A406">
        <v>1405</v>
      </c>
      <c r="B406" s="1">
        <v>45900</v>
      </c>
      <c r="C406" t="s">
        <v>17</v>
      </c>
      <c r="D406" t="s">
        <v>12</v>
      </c>
      <c r="E406" t="s">
        <v>30</v>
      </c>
      <c r="F406">
        <v>850.56</v>
      </c>
      <c r="G406">
        <v>1</v>
      </c>
      <c r="H406" s="2">
        <f>Table3[[#This Row],[UnitPrice]]*Table3[Quantity]</f>
        <v>850.56</v>
      </c>
      <c r="I406" t="s">
        <v>51</v>
      </c>
      <c r="J406">
        <v>51</v>
      </c>
      <c r="K406" t="s">
        <v>21</v>
      </c>
      <c r="L406" t="s">
        <v>28</v>
      </c>
    </row>
    <row r="407" spans="1:12" x14ac:dyDescent="0.25">
      <c r="A407">
        <v>1406</v>
      </c>
      <c r="B407" s="1">
        <v>45728</v>
      </c>
      <c r="C407" t="s">
        <v>32</v>
      </c>
      <c r="D407" t="s">
        <v>24</v>
      </c>
      <c r="E407" t="s">
        <v>43</v>
      </c>
      <c r="F407">
        <v>56.04</v>
      </c>
      <c r="G407">
        <v>5</v>
      </c>
      <c r="H407" s="2">
        <f>Table3[[#This Row],[UnitPrice]]*Table3[Quantity]</f>
        <v>280.2</v>
      </c>
      <c r="I407" t="s">
        <v>44</v>
      </c>
      <c r="J407">
        <v>36</v>
      </c>
      <c r="K407" t="s">
        <v>21</v>
      </c>
      <c r="L407" t="s">
        <v>22</v>
      </c>
    </row>
    <row r="408" spans="1:12" x14ac:dyDescent="0.25">
      <c r="A408">
        <v>1407</v>
      </c>
      <c r="B408" s="1">
        <v>45759</v>
      </c>
      <c r="C408" t="s">
        <v>17</v>
      </c>
      <c r="D408" t="s">
        <v>12</v>
      </c>
      <c r="E408" t="s">
        <v>13</v>
      </c>
      <c r="F408">
        <v>1115.75</v>
      </c>
      <c r="G408">
        <v>2</v>
      </c>
      <c r="H408" s="2">
        <f>Table3[[#This Row],[UnitPrice]]*Table3[Quantity]</f>
        <v>2231.5</v>
      </c>
      <c r="I408" t="s">
        <v>70</v>
      </c>
      <c r="J408">
        <v>63</v>
      </c>
      <c r="K408" t="s">
        <v>21</v>
      </c>
      <c r="L408" t="s">
        <v>22</v>
      </c>
    </row>
    <row r="409" spans="1:12" x14ac:dyDescent="0.25">
      <c r="A409">
        <v>1408</v>
      </c>
      <c r="B409" s="1">
        <v>45938</v>
      </c>
      <c r="C409" t="s">
        <v>32</v>
      </c>
      <c r="D409" t="s">
        <v>24</v>
      </c>
      <c r="E409" t="s">
        <v>38</v>
      </c>
      <c r="F409">
        <v>93.98</v>
      </c>
      <c r="G409">
        <v>3</v>
      </c>
      <c r="H409" s="2">
        <f>Table3[[#This Row],[UnitPrice]]*Table3[Quantity]</f>
        <v>281.94</v>
      </c>
      <c r="I409" t="s">
        <v>42</v>
      </c>
      <c r="J409">
        <v>18</v>
      </c>
      <c r="K409" t="s">
        <v>21</v>
      </c>
      <c r="L409" t="s">
        <v>22</v>
      </c>
    </row>
    <row r="410" spans="1:12" x14ac:dyDescent="0.25">
      <c r="A410">
        <v>1409</v>
      </c>
      <c r="B410" s="1">
        <v>45714</v>
      </c>
      <c r="C410" t="s">
        <v>17</v>
      </c>
      <c r="D410" t="s">
        <v>34</v>
      </c>
      <c r="E410" t="s">
        <v>35</v>
      </c>
      <c r="F410">
        <v>779.78</v>
      </c>
      <c r="G410">
        <v>5</v>
      </c>
      <c r="H410" s="2">
        <f>Table3[[#This Row],[UnitPrice]]*Table3[Quantity]</f>
        <v>3898.8999999999996</v>
      </c>
      <c r="I410" t="s">
        <v>52</v>
      </c>
      <c r="J410">
        <v>64</v>
      </c>
      <c r="K410" t="s">
        <v>27</v>
      </c>
      <c r="L410" t="s">
        <v>16</v>
      </c>
    </row>
    <row r="411" spans="1:12" x14ac:dyDescent="0.25">
      <c r="A411">
        <v>1410</v>
      </c>
      <c r="B411" s="1">
        <v>45987</v>
      </c>
      <c r="C411" t="s">
        <v>11</v>
      </c>
      <c r="D411" t="s">
        <v>18</v>
      </c>
      <c r="E411" t="s">
        <v>19</v>
      </c>
      <c r="F411">
        <v>1264.1300000000001</v>
      </c>
      <c r="G411">
        <v>1</v>
      </c>
      <c r="H411" s="2">
        <f>Table3[[#This Row],[UnitPrice]]*Table3[Quantity]</f>
        <v>1264.1300000000001</v>
      </c>
      <c r="I411" t="s">
        <v>26</v>
      </c>
      <c r="J411">
        <v>29</v>
      </c>
      <c r="K411" t="s">
        <v>27</v>
      </c>
      <c r="L411" t="s">
        <v>16</v>
      </c>
    </row>
    <row r="412" spans="1:12" x14ac:dyDescent="0.25">
      <c r="A412">
        <v>1411</v>
      </c>
      <c r="B412" s="1">
        <v>45842</v>
      </c>
      <c r="C412" t="s">
        <v>17</v>
      </c>
      <c r="D412" t="s">
        <v>18</v>
      </c>
      <c r="E412" t="s">
        <v>19</v>
      </c>
      <c r="F412">
        <v>1095</v>
      </c>
      <c r="G412">
        <v>1</v>
      </c>
      <c r="H412" s="2">
        <f>Table3[[#This Row],[UnitPrice]]*Table3[Quantity]</f>
        <v>1095</v>
      </c>
      <c r="I412" t="s">
        <v>23</v>
      </c>
      <c r="J412">
        <v>26</v>
      </c>
      <c r="K412" t="s">
        <v>15</v>
      </c>
      <c r="L412" t="s">
        <v>22</v>
      </c>
    </row>
    <row r="413" spans="1:12" x14ac:dyDescent="0.25">
      <c r="A413">
        <v>1412</v>
      </c>
      <c r="B413" s="1">
        <v>45841</v>
      </c>
      <c r="C413" t="s">
        <v>32</v>
      </c>
      <c r="D413" t="s">
        <v>24</v>
      </c>
      <c r="E413" t="s">
        <v>25</v>
      </c>
      <c r="F413">
        <v>89.06</v>
      </c>
      <c r="G413">
        <v>1</v>
      </c>
      <c r="H413" s="2">
        <f>Table3[[#This Row],[UnitPrice]]*Table3[Quantity]</f>
        <v>89.06</v>
      </c>
      <c r="I413" t="s">
        <v>75</v>
      </c>
      <c r="J413">
        <v>39</v>
      </c>
      <c r="K413" t="s">
        <v>21</v>
      </c>
      <c r="L413" t="s">
        <v>22</v>
      </c>
    </row>
    <row r="414" spans="1:12" x14ac:dyDescent="0.25">
      <c r="A414">
        <v>1413</v>
      </c>
      <c r="B414" s="1">
        <v>45891</v>
      </c>
      <c r="C414" t="s">
        <v>32</v>
      </c>
      <c r="D414" t="s">
        <v>24</v>
      </c>
      <c r="E414" t="s">
        <v>38</v>
      </c>
      <c r="F414">
        <v>86.56</v>
      </c>
      <c r="G414">
        <v>4</v>
      </c>
      <c r="H414" s="2">
        <f>Table3[[#This Row],[UnitPrice]]*Table3[Quantity]</f>
        <v>346.24</v>
      </c>
      <c r="I414" t="s">
        <v>61</v>
      </c>
      <c r="J414">
        <v>28</v>
      </c>
      <c r="K414" t="s">
        <v>21</v>
      </c>
      <c r="L414" t="s">
        <v>28</v>
      </c>
    </row>
    <row r="415" spans="1:12" x14ac:dyDescent="0.25">
      <c r="A415">
        <v>1414</v>
      </c>
      <c r="B415" s="1">
        <v>45688</v>
      </c>
      <c r="C415" t="s">
        <v>11</v>
      </c>
      <c r="D415" t="s">
        <v>12</v>
      </c>
      <c r="E415" t="s">
        <v>13</v>
      </c>
      <c r="F415">
        <v>1101.1300000000001</v>
      </c>
      <c r="G415">
        <v>4</v>
      </c>
      <c r="H415" s="2">
        <f>Table3[[#This Row],[UnitPrice]]*Table3[Quantity]</f>
        <v>4404.5200000000004</v>
      </c>
      <c r="I415" t="s">
        <v>69</v>
      </c>
      <c r="J415">
        <v>57</v>
      </c>
      <c r="K415" t="s">
        <v>21</v>
      </c>
      <c r="L415" t="s">
        <v>22</v>
      </c>
    </row>
    <row r="416" spans="1:12" x14ac:dyDescent="0.25">
      <c r="A416">
        <v>1415</v>
      </c>
      <c r="B416" s="1">
        <v>45672</v>
      </c>
      <c r="C416" t="s">
        <v>17</v>
      </c>
      <c r="D416" t="s">
        <v>24</v>
      </c>
      <c r="E416" t="s">
        <v>38</v>
      </c>
      <c r="F416">
        <v>97.61</v>
      </c>
      <c r="G416">
        <v>2</v>
      </c>
      <c r="H416" s="2">
        <f>Table3[[#This Row],[UnitPrice]]*Table3[Quantity]</f>
        <v>195.22</v>
      </c>
      <c r="I416" t="s">
        <v>48</v>
      </c>
      <c r="J416">
        <v>49</v>
      </c>
      <c r="K416" t="s">
        <v>21</v>
      </c>
      <c r="L416" t="s">
        <v>22</v>
      </c>
    </row>
    <row r="417" spans="1:12" x14ac:dyDescent="0.25">
      <c r="A417">
        <v>1416</v>
      </c>
      <c r="B417" s="1">
        <v>45681</v>
      </c>
      <c r="C417" t="s">
        <v>11</v>
      </c>
      <c r="D417" t="s">
        <v>12</v>
      </c>
      <c r="E417" t="s">
        <v>13</v>
      </c>
      <c r="F417">
        <v>706.18</v>
      </c>
      <c r="G417">
        <v>5</v>
      </c>
      <c r="H417" s="2">
        <f>Table3[[#This Row],[UnitPrice]]*Table3[Quantity]</f>
        <v>3530.8999999999996</v>
      </c>
      <c r="I417" t="s">
        <v>31</v>
      </c>
      <c r="J417">
        <v>65</v>
      </c>
      <c r="K417" t="s">
        <v>15</v>
      </c>
      <c r="L417" t="s">
        <v>28</v>
      </c>
    </row>
    <row r="418" spans="1:12" x14ac:dyDescent="0.25">
      <c r="A418">
        <v>1417</v>
      </c>
      <c r="B418" s="1">
        <v>46000</v>
      </c>
      <c r="C418" t="s">
        <v>32</v>
      </c>
      <c r="D418" t="s">
        <v>18</v>
      </c>
      <c r="E418" t="s">
        <v>19</v>
      </c>
      <c r="F418">
        <v>1432.85</v>
      </c>
      <c r="G418">
        <v>2</v>
      </c>
      <c r="H418" s="2">
        <f>Table3[[#This Row],[UnitPrice]]*Table3[Quantity]</f>
        <v>2865.7</v>
      </c>
      <c r="I418" t="s">
        <v>48</v>
      </c>
      <c r="J418">
        <v>40</v>
      </c>
      <c r="K418" t="s">
        <v>15</v>
      </c>
      <c r="L418" t="s">
        <v>28</v>
      </c>
    </row>
    <row r="419" spans="1:12" x14ac:dyDescent="0.25">
      <c r="A419">
        <v>1418</v>
      </c>
      <c r="B419" s="1">
        <v>45734</v>
      </c>
      <c r="C419" t="s">
        <v>17</v>
      </c>
      <c r="D419" t="s">
        <v>24</v>
      </c>
      <c r="E419" t="s">
        <v>38</v>
      </c>
      <c r="F419">
        <v>14.91</v>
      </c>
      <c r="G419">
        <v>2</v>
      </c>
      <c r="H419" s="2">
        <f>Table3[[#This Row],[UnitPrice]]*Table3[Quantity]</f>
        <v>29.82</v>
      </c>
      <c r="I419" t="s">
        <v>20</v>
      </c>
      <c r="J419">
        <v>48</v>
      </c>
      <c r="K419" t="s">
        <v>27</v>
      </c>
      <c r="L419" t="s">
        <v>16</v>
      </c>
    </row>
    <row r="420" spans="1:12" x14ac:dyDescent="0.25">
      <c r="A420">
        <v>1419</v>
      </c>
      <c r="B420" s="1">
        <v>45696</v>
      </c>
      <c r="C420" t="s">
        <v>32</v>
      </c>
      <c r="D420" t="s">
        <v>18</v>
      </c>
      <c r="E420" t="s">
        <v>19</v>
      </c>
      <c r="F420">
        <v>1970.15</v>
      </c>
      <c r="G420">
        <v>1</v>
      </c>
      <c r="H420" s="2">
        <f>Table3[[#This Row],[UnitPrice]]*Table3[Quantity]</f>
        <v>1970.15</v>
      </c>
      <c r="I420" t="s">
        <v>20</v>
      </c>
      <c r="J420">
        <v>32</v>
      </c>
      <c r="K420" t="s">
        <v>15</v>
      </c>
      <c r="L420" t="s">
        <v>22</v>
      </c>
    </row>
    <row r="421" spans="1:12" x14ac:dyDescent="0.25">
      <c r="A421">
        <v>1420</v>
      </c>
      <c r="B421" s="1">
        <v>45778</v>
      </c>
      <c r="C421" t="s">
        <v>11</v>
      </c>
      <c r="D421" t="s">
        <v>18</v>
      </c>
      <c r="E421" t="s">
        <v>19</v>
      </c>
      <c r="F421">
        <v>1088.02</v>
      </c>
      <c r="G421">
        <v>4</v>
      </c>
      <c r="H421" s="2">
        <f>Table3[[#This Row],[UnitPrice]]*Table3[Quantity]</f>
        <v>4352.08</v>
      </c>
      <c r="I421" t="s">
        <v>47</v>
      </c>
      <c r="J421">
        <v>38</v>
      </c>
      <c r="K421" t="s">
        <v>21</v>
      </c>
      <c r="L421" t="s">
        <v>22</v>
      </c>
    </row>
    <row r="422" spans="1:12" x14ac:dyDescent="0.25">
      <c r="A422">
        <v>1421</v>
      </c>
      <c r="B422" s="1">
        <v>45992</v>
      </c>
      <c r="C422" t="s">
        <v>11</v>
      </c>
      <c r="D422" t="s">
        <v>12</v>
      </c>
      <c r="E422" t="s">
        <v>13</v>
      </c>
      <c r="F422">
        <v>717.92</v>
      </c>
      <c r="G422">
        <v>5</v>
      </c>
      <c r="H422" s="2">
        <f>Table3[[#This Row],[UnitPrice]]*Table3[Quantity]</f>
        <v>3589.6</v>
      </c>
      <c r="I422" t="s">
        <v>23</v>
      </c>
      <c r="J422">
        <v>23</v>
      </c>
      <c r="K422" t="s">
        <v>27</v>
      </c>
      <c r="L422" t="s">
        <v>16</v>
      </c>
    </row>
    <row r="423" spans="1:12" x14ac:dyDescent="0.25">
      <c r="A423">
        <v>1422</v>
      </c>
      <c r="B423" s="1">
        <v>45984</v>
      </c>
      <c r="C423" t="s">
        <v>32</v>
      </c>
      <c r="D423" t="s">
        <v>24</v>
      </c>
      <c r="E423" t="s">
        <v>38</v>
      </c>
      <c r="F423">
        <v>28.62</v>
      </c>
      <c r="G423">
        <v>4</v>
      </c>
      <c r="H423" s="2">
        <f>Table3[[#This Row],[UnitPrice]]*Table3[Quantity]</f>
        <v>114.48</v>
      </c>
      <c r="I423" t="s">
        <v>72</v>
      </c>
      <c r="J423">
        <v>41</v>
      </c>
      <c r="K423" t="s">
        <v>27</v>
      </c>
      <c r="L423" t="s">
        <v>16</v>
      </c>
    </row>
    <row r="424" spans="1:12" x14ac:dyDescent="0.25">
      <c r="A424">
        <v>1423</v>
      </c>
      <c r="B424" s="1">
        <v>45890</v>
      </c>
      <c r="C424" t="s">
        <v>32</v>
      </c>
      <c r="D424" t="s">
        <v>34</v>
      </c>
      <c r="E424" t="s">
        <v>35</v>
      </c>
      <c r="F424">
        <v>686.66</v>
      </c>
      <c r="G424">
        <v>3</v>
      </c>
      <c r="H424" s="2">
        <f>Table3[[#This Row],[UnitPrice]]*Table3[Quantity]</f>
        <v>2059.98</v>
      </c>
      <c r="I424" t="s">
        <v>78</v>
      </c>
      <c r="J424">
        <v>46</v>
      </c>
      <c r="K424" t="s">
        <v>21</v>
      </c>
      <c r="L424" t="s">
        <v>28</v>
      </c>
    </row>
    <row r="425" spans="1:12" x14ac:dyDescent="0.25">
      <c r="A425">
        <v>1424</v>
      </c>
      <c r="B425" s="1">
        <v>45771</v>
      </c>
      <c r="C425" t="s">
        <v>11</v>
      </c>
      <c r="D425" t="s">
        <v>18</v>
      </c>
      <c r="E425" t="s">
        <v>19</v>
      </c>
      <c r="F425">
        <v>1547.69</v>
      </c>
      <c r="G425">
        <v>3</v>
      </c>
      <c r="H425" s="2">
        <f>Table3[[#This Row],[UnitPrice]]*Table3[Quantity]</f>
        <v>4643.07</v>
      </c>
      <c r="I425" t="s">
        <v>74</v>
      </c>
      <c r="J425">
        <v>24</v>
      </c>
      <c r="K425" t="s">
        <v>21</v>
      </c>
      <c r="L425" t="s">
        <v>22</v>
      </c>
    </row>
    <row r="426" spans="1:12" x14ac:dyDescent="0.25">
      <c r="A426">
        <v>1425</v>
      </c>
      <c r="B426" s="1">
        <v>45729</v>
      </c>
      <c r="C426" t="s">
        <v>17</v>
      </c>
      <c r="D426" t="s">
        <v>24</v>
      </c>
      <c r="E426" t="s">
        <v>25</v>
      </c>
      <c r="F426">
        <v>19.63</v>
      </c>
      <c r="G426">
        <v>5</v>
      </c>
      <c r="H426" s="2">
        <f>Table3[[#This Row],[UnitPrice]]*Table3[Quantity]</f>
        <v>98.149999999999991</v>
      </c>
      <c r="I426" t="s">
        <v>58</v>
      </c>
      <c r="J426">
        <v>30</v>
      </c>
      <c r="K426" t="s">
        <v>21</v>
      </c>
      <c r="L426" t="s">
        <v>16</v>
      </c>
    </row>
    <row r="427" spans="1:12" x14ac:dyDescent="0.25">
      <c r="A427">
        <v>1426</v>
      </c>
      <c r="B427" s="1">
        <v>45768</v>
      </c>
      <c r="C427" t="s">
        <v>32</v>
      </c>
      <c r="D427" t="s">
        <v>24</v>
      </c>
      <c r="E427" t="s">
        <v>43</v>
      </c>
      <c r="F427">
        <v>74.510000000000005</v>
      </c>
      <c r="G427">
        <v>1</v>
      </c>
      <c r="H427" s="2">
        <f>Table3[[#This Row],[UnitPrice]]*Table3[Quantity]</f>
        <v>74.510000000000005</v>
      </c>
      <c r="I427" t="s">
        <v>40</v>
      </c>
      <c r="J427">
        <v>44</v>
      </c>
      <c r="K427" t="s">
        <v>21</v>
      </c>
      <c r="L427" t="s">
        <v>28</v>
      </c>
    </row>
    <row r="428" spans="1:12" x14ac:dyDescent="0.25">
      <c r="A428">
        <v>1427</v>
      </c>
      <c r="B428" s="1">
        <v>46002</v>
      </c>
      <c r="C428" t="s">
        <v>17</v>
      </c>
      <c r="D428" t="s">
        <v>12</v>
      </c>
      <c r="E428" t="s">
        <v>13</v>
      </c>
      <c r="F428">
        <v>928.69</v>
      </c>
      <c r="G428">
        <v>5</v>
      </c>
      <c r="H428" s="2">
        <f>Table3[[#This Row],[UnitPrice]]*Table3[Quantity]</f>
        <v>4643.4500000000007</v>
      </c>
      <c r="I428" t="s">
        <v>20</v>
      </c>
      <c r="J428">
        <v>26</v>
      </c>
      <c r="K428" t="s">
        <v>27</v>
      </c>
      <c r="L428" t="s">
        <v>22</v>
      </c>
    </row>
    <row r="429" spans="1:12" x14ac:dyDescent="0.25">
      <c r="A429">
        <v>1428</v>
      </c>
      <c r="B429" s="1">
        <v>45682</v>
      </c>
      <c r="C429" t="s">
        <v>17</v>
      </c>
      <c r="D429" t="s">
        <v>24</v>
      </c>
      <c r="E429" t="s">
        <v>38</v>
      </c>
      <c r="F429">
        <v>53.46</v>
      </c>
      <c r="G429">
        <v>5</v>
      </c>
      <c r="H429" s="2">
        <f>Table3[[#This Row],[UnitPrice]]*Table3[Quantity]</f>
        <v>267.3</v>
      </c>
      <c r="I429" t="s">
        <v>31</v>
      </c>
      <c r="J429">
        <v>29</v>
      </c>
      <c r="K429" t="s">
        <v>15</v>
      </c>
      <c r="L429" t="s">
        <v>22</v>
      </c>
    </row>
    <row r="430" spans="1:12" x14ac:dyDescent="0.25">
      <c r="A430">
        <v>1429</v>
      </c>
      <c r="B430" s="1">
        <v>45723</v>
      </c>
      <c r="C430" t="s">
        <v>11</v>
      </c>
      <c r="D430" t="s">
        <v>18</v>
      </c>
      <c r="E430" t="s">
        <v>19</v>
      </c>
      <c r="F430">
        <v>1504.11</v>
      </c>
      <c r="G430">
        <v>4</v>
      </c>
      <c r="H430" s="2">
        <f>Table3[[#This Row],[UnitPrice]]*Table3[Quantity]</f>
        <v>6016.44</v>
      </c>
      <c r="I430" t="s">
        <v>65</v>
      </c>
      <c r="J430">
        <v>56</v>
      </c>
      <c r="K430" t="s">
        <v>27</v>
      </c>
      <c r="L430" t="s">
        <v>28</v>
      </c>
    </row>
    <row r="431" spans="1:12" x14ac:dyDescent="0.25">
      <c r="A431">
        <v>1430</v>
      </c>
      <c r="B431" s="1">
        <v>45798</v>
      </c>
      <c r="C431" t="s">
        <v>32</v>
      </c>
      <c r="D431" t="s">
        <v>24</v>
      </c>
      <c r="E431" t="s">
        <v>25</v>
      </c>
      <c r="F431">
        <v>50.76</v>
      </c>
      <c r="G431">
        <v>2</v>
      </c>
      <c r="H431" s="2">
        <f>Table3[[#This Row],[UnitPrice]]*Table3[Quantity]</f>
        <v>101.52</v>
      </c>
      <c r="I431" t="s">
        <v>64</v>
      </c>
      <c r="J431">
        <v>44</v>
      </c>
      <c r="K431" t="s">
        <v>15</v>
      </c>
      <c r="L431" t="s">
        <v>16</v>
      </c>
    </row>
    <row r="432" spans="1:12" x14ac:dyDescent="0.25">
      <c r="A432">
        <v>1431</v>
      </c>
      <c r="B432" s="1">
        <v>45920</v>
      </c>
      <c r="C432" t="s">
        <v>32</v>
      </c>
      <c r="D432" t="s">
        <v>24</v>
      </c>
      <c r="E432" t="s">
        <v>38</v>
      </c>
      <c r="F432">
        <v>87.46</v>
      </c>
      <c r="G432">
        <v>5</v>
      </c>
      <c r="H432" s="2">
        <f>Table3[[#This Row],[UnitPrice]]*Table3[Quantity]</f>
        <v>437.29999999999995</v>
      </c>
      <c r="I432" t="s">
        <v>80</v>
      </c>
      <c r="J432">
        <v>31</v>
      </c>
      <c r="K432" t="s">
        <v>21</v>
      </c>
      <c r="L432" t="s">
        <v>28</v>
      </c>
    </row>
    <row r="433" spans="1:12" x14ac:dyDescent="0.25">
      <c r="A433">
        <v>1432</v>
      </c>
      <c r="B433" s="1">
        <v>45806</v>
      </c>
      <c r="C433" t="s">
        <v>17</v>
      </c>
      <c r="D433" t="s">
        <v>18</v>
      </c>
      <c r="E433" t="s">
        <v>19</v>
      </c>
      <c r="F433">
        <v>1981.34</v>
      </c>
      <c r="G433">
        <v>2</v>
      </c>
      <c r="H433" s="2">
        <f>Table3[[#This Row],[UnitPrice]]*Table3[Quantity]</f>
        <v>3962.68</v>
      </c>
      <c r="I433" t="s">
        <v>20</v>
      </c>
      <c r="J433">
        <v>52</v>
      </c>
      <c r="K433" t="s">
        <v>15</v>
      </c>
      <c r="L433" t="s">
        <v>22</v>
      </c>
    </row>
    <row r="434" spans="1:12" x14ac:dyDescent="0.25">
      <c r="A434">
        <v>1433</v>
      </c>
      <c r="B434" s="1">
        <v>45717</v>
      </c>
      <c r="C434" t="s">
        <v>32</v>
      </c>
      <c r="D434" t="s">
        <v>34</v>
      </c>
      <c r="E434" t="s">
        <v>35</v>
      </c>
      <c r="F434">
        <v>669.7</v>
      </c>
      <c r="G434">
        <v>5</v>
      </c>
      <c r="H434" s="2">
        <f>Table3[[#This Row],[UnitPrice]]*Table3[Quantity]</f>
        <v>3348.5</v>
      </c>
      <c r="I434" t="s">
        <v>49</v>
      </c>
      <c r="J434">
        <v>45</v>
      </c>
      <c r="K434" t="s">
        <v>27</v>
      </c>
      <c r="L434" t="s">
        <v>28</v>
      </c>
    </row>
    <row r="435" spans="1:12" x14ac:dyDescent="0.25">
      <c r="A435">
        <v>1434</v>
      </c>
      <c r="B435" s="1">
        <v>45670</v>
      </c>
      <c r="C435" t="s">
        <v>32</v>
      </c>
      <c r="D435" t="s">
        <v>12</v>
      </c>
      <c r="E435" t="s">
        <v>30</v>
      </c>
      <c r="F435">
        <v>799.95</v>
      </c>
      <c r="G435">
        <v>2</v>
      </c>
      <c r="H435" s="2">
        <f>Table3[[#This Row],[UnitPrice]]*Table3[Quantity]</f>
        <v>1599.9</v>
      </c>
      <c r="I435" t="s">
        <v>49</v>
      </c>
      <c r="J435">
        <v>61</v>
      </c>
      <c r="K435" t="s">
        <v>21</v>
      </c>
      <c r="L435" t="s">
        <v>16</v>
      </c>
    </row>
    <row r="436" spans="1:12" x14ac:dyDescent="0.25">
      <c r="A436">
        <v>1435</v>
      </c>
      <c r="B436" s="1">
        <v>46011</v>
      </c>
      <c r="C436" t="s">
        <v>32</v>
      </c>
      <c r="D436" t="s">
        <v>12</v>
      </c>
      <c r="E436" t="s">
        <v>30</v>
      </c>
      <c r="F436">
        <v>879.34</v>
      </c>
      <c r="G436">
        <v>4</v>
      </c>
      <c r="H436" s="2">
        <f>Table3[[#This Row],[UnitPrice]]*Table3[Quantity]</f>
        <v>3517.36</v>
      </c>
      <c r="I436" t="s">
        <v>26</v>
      </c>
      <c r="J436">
        <v>57</v>
      </c>
      <c r="K436" t="s">
        <v>27</v>
      </c>
      <c r="L436" t="s">
        <v>28</v>
      </c>
    </row>
    <row r="437" spans="1:12" x14ac:dyDescent="0.25">
      <c r="A437">
        <v>1436</v>
      </c>
      <c r="B437" s="1">
        <v>45772</v>
      </c>
      <c r="C437" t="s">
        <v>17</v>
      </c>
      <c r="D437" t="s">
        <v>34</v>
      </c>
      <c r="E437" t="s">
        <v>35</v>
      </c>
      <c r="F437">
        <v>495.04</v>
      </c>
      <c r="G437">
        <v>3</v>
      </c>
      <c r="H437" s="2">
        <f>Table3[[#This Row],[UnitPrice]]*Table3[Quantity]</f>
        <v>1485.1200000000001</v>
      </c>
      <c r="I437" t="s">
        <v>74</v>
      </c>
      <c r="J437">
        <v>60</v>
      </c>
      <c r="K437" t="s">
        <v>21</v>
      </c>
      <c r="L437" t="s">
        <v>22</v>
      </c>
    </row>
    <row r="438" spans="1:12" x14ac:dyDescent="0.25">
      <c r="A438">
        <v>1437</v>
      </c>
      <c r="B438" s="1">
        <v>45871</v>
      </c>
      <c r="C438" t="s">
        <v>17</v>
      </c>
      <c r="D438" t="s">
        <v>18</v>
      </c>
      <c r="E438" t="s">
        <v>19</v>
      </c>
      <c r="F438">
        <v>1012.97</v>
      </c>
      <c r="G438">
        <v>3</v>
      </c>
      <c r="H438" s="2">
        <f>Table3[[#This Row],[UnitPrice]]*Table3[Quantity]</f>
        <v>3038.91</v>
      </c>
      <c r="I438" t="s">
        <v>58</v>
      </c>
      <c r="J438">
        <v>57</v>
      </c>
      <c r="K438" t="s">
        <v>27</v>
      </c>
      <c r="L438" t="s">
        <v>16</v>
      </c>
    </row>
    <row r="439" spans="1:12" x14ac:dyDescent="0.25">
      <c r="A439">
        <v>1438</v>
      </c>
      <c r="B439" s="1">
        <v>45884</v>
      </c>
      <c r="C439" t="s">
        <v>11</v>
      </c>
      <c r="D439" t="s">
        <v>24</v>
      </c>
      <c r="E439" t="s">
        <v>38</v>
      </c>
      <c r="F439">
        <v>73.86</v>
      </c>
      <c r="G439">
        <v>3</v>
      </c>
      <c r="H439" s="2">
        <f>Table3[[#This Row],[UnitPrice]]*Table3[Quantity]</f>
        <v>221.57999999999998</v>
      </c>
      <c r="I439" t="s">
        <v>40</v>
      </c>
      <c r="J439">
        <v>55</v>
      </c>
      <c r="K439" t="s">
        <v>15</v>
      </c>
      <c r="L439" t="s">
        <v>28</v>
      </c>
    </row>
    <row r="440" spans="1:12" x14ac:dyDescent="0.25">
      <c r="A440">
        <v>1439</v>
      </c>
      <c r="B440" s="1">
        <v>45757</v>
      </c>
      <c r="C440" t="s">
        <v>32</v>
      </c>
      <c r="D440" t="s">
        <v>18</v>
      </c>
      <c r="E440" t="s">
        <v>19</v>
      </c>
      <c r="F440">
        <v>1186.98</v>
      </c>
      <c r="G440">
        <v>2</v>
      </c>
      <c r="H440" s="2">
        <f>Table3[[#This Row],[UnitPrice]]*Table3[Quantity]</f>
        <v>2373.96</v>
      </c>
      <c r="I440" t="s">
        <v>14</v>
      </c>
      <c r="J440">
        <v>50</v>
      </c>
      <c r="K440" t="s">
        <v>21</v>
      </c>
      <c r="L440" t="s">
        <v>22</v>
      </c>
    </row>
    <row r="441" spans="1:12" x14ac:dyDescent="0.25">
      <c r="A441">
        <v>1440</v>
      </c>
      <c r="B441" s="1">
        <v>45800</v>
      </c>
      <c r="C441" t="s">
        <v>17</v>
      </c>
      <c r="D441" t="s">
        <v>12</v>
      </c>
      <c r="E441" t="s">
        <v>30</v>
      </c>
      <c r="F441">
        <v>991.99</v>
      </c>
      <c r="G441">
        <v>3</v>
      </c>
      <c r="H441" s="2">
        <f>Table3[[#This Row],[UnitPrice]]*Table3[Quantity]</f>
        <v>2975.9700000000003</v>
      </c>
      <c r="I441" t="s">
        <v>23</v>
      </c>
      <c r="J441">
        <v>39</v>
      </c>
      <c r="K441" t="s">
        <v>21</v>
      </c>
      <c r="L441" t="s">
        <v>16</v>
      </c>
    </row>
    <row r="442" spans="1:12" x14ac:dyDescent="0.25">
      <c r="A442">
        <v>1441</v>
      </c>
      <c r="B442" s="1">
        <v>45678</v>
      </c>
      <c r="C442" t="s">
        <v>11</v>
      </c>
      <c r="D442" t="s">
        <v>24</v>
      </c>
      <c r="E442" t="s">
        <v>38</v>
      </c>
      <c r="F442">
        <v>14.58</v>
      </c>
      <c r="G442">
        <v>5</v>
      </c>
      <c r="H442" s="2">
        <f>Table3[[#This Row],[UnitPrice]]*Table3[Quantity]</f>
        <v>72.900000000000006</v>
      </c>
      <c r="I442" t="s">
        <v>51</v>
      </c>
      <c r="J442">
        <v>37</v>
      </c>
      <c r="K442" t="s">
        <v>21</v>
      </c>
      <c r="L442" t="s">
        <v>28</v>
      </c>
    </row>
    <row r="443" spans="1:12" x14ac:dyDescent="0.25">
      <c r="A443">
        <v>1442</v>
      </c>
      <c r="B443" s="1">
        <v>45841</v>
      </c>
      <c r="C443" t="s">
        <v>11</v>
      </c>
      <c r="D443" t="s">
        <v>24</v>
      </c>
      <c r="E443" t="s">
        <v>25</v>
      </c>
      <c r="F443">
        <v>57.29</v>
      </c>
      <c r="G443">
        <v>2</v>
      </c>
      <c r="H443" s="2">
        <f>Table3[[#This Row],[UnitPrice]]*Table3[Quantity]</f>
        <v>114.58</v>
      </c>
      <c r="I443" t="s">
        <v>76</v>
      </c>
      <c r="J443">
        <v>22</v>
      </c>
      <c r="K443" t="s">
        <v>27</v>
      </c>
      <c r="L443" t="s">
        <v>22</v>
      </c>
    </row>
    <row r="444" spans="1:12" x14ac:dyDescent="0.25">
      <c r="A444">
        <v>1443</v>
      </c>
      <c r="B444" s="1">
        <v>45936</v>
      </c>
      <c r="C444" t="s">
        <v>17</v>
      </c>
      <c r="D444" t="s">
        <v>18</v>
      </c>
      <c r="E444" t="s">
        <v>19</v>
      </c>
      <c r="F444">
        <v>1221.2</v>
      </c>
      <c r="G444">
        <v>2</v>
      </c>
      <c r="H444" s="2">
        <f>Table3[[#This Row],[UnitPrice]]*Table3[Quantity]</f>
        <v>2442.4</v>
      </c>
      <c r="I444" t="s">
        <v>51</v>
      </c>
      <c r="J444">
        <v>39</v>
      </c>
      <c r="K444" t="s">
        <v>21</v>
      </c>
      <c r="L444" t="s">
        <v>22</v>
      </c>
    </row>
    <row r="445" spans="1:12" x14ac:dyDescent="0.25">
      <c r="A445">
        <v>1444</v>
      </c>
      <c r="B445" s="1">
        <v>45974</v>
      </c>
      <c r="C445" t="s">
        <v>17</v>
      </c>
      <c r="D445" t="s">
        <v>18</v>
      </c>
      <c r="E445" t="s">
        <v>19</v>
      </c>
      <c r="F445">
        <v>1114.72</v>
      </c>
      <c r="G445">
        <v>3</v>
      </c>
      <c r="H445" s="2">
        <f>Table3[[#This Row],[UnitPrice]]*Table3[Quantity]</f>
        <v>3344.16</v>
      </c>
      <c r="I445" t="s">
        <v>47</v>
      </c>
      <c r="J445">
        <v>33</v>
      </c>
      <c r="K445" t="s">
        <v>27</v>
      </c>
      <c r="L445" t="s">
        <v>28</v>
      </c>
    </row>
    <row r="446" spans="1:12" x14ac:dyDescent="0.25">
      <c r="A446">
        <v>1445</v>
      </c>
      <c r="B446" s="1">
        <v>45976</v>
      </c>
      <c r="C446" t="s">
        <v>11</v>
      </c>
      <c r="D446" t="s">
        <v>24</v>
      </c>
      <c r="E446" t="s">
        <v>38</v>
      </c>
      <c r="F446">
        <v>89.71</v>
      </c>
      <c r="G446">
        <v>4</v>
      </c>
      <c r="H446" s="2">
        <f>Table3[[#This Row],[UnitPrice]]*Table3[Quantity]</f>
        <v>358.84</v>
      </c>
      <c r="I446" t="s">
        <v>44</v>
      </c>
      <c r="J446">
        <v>42</v>
      </c>
      <c r="K446" t="s">
        <v>21</v>
      </c>
      <c r="L446" t="s">
        <v>28</v>
      </c>
    </row>
    <row r="447" spans="1:12" x14ac:dyDescent="0.25">
      <c r="A447">
        <v>1446</v>
      </c>
      <c r="B447" s="1">
        <v>45670</v>
      </c>
      <c r="C447" t="s">
        <v>17</v>
      </c>
      <c r="D447" t="s">
        <v>24</v>
      </c>
      <c r="E447" t="s">
        <v>25</v>
      </c>
      <c r="F447">
        <v>56.29</v>
      </c>
      <c r="G447">
        <v>5</v>
      </c>
      <c r="H447" s="2">
        <f>Table3[[#This Row],[UnitPrice]]*Table3[Quantity]</f>
        <v>281.45</v>
      </c>
      <c r="I447" t="s">
        <v>47</v>
      </c>
      <c r="J447">
        <v>49</v>
      </c>
      <c r="K447" t="s">
        <v>21</v>
      </c>
      <c r="L447" t="s">
        <v>16</v>
      </c>
    </row>
    <row r="448" spans="1:12" x14ac:dyDescent="0.25">
      <c r="A448">
        <v>1447</v>
      </c>
      <c r="B448" s="1">
        <v>45756</v>
      </c>
      <c r="C448" t="s">
        <v>32</v>
      </c>
      <c r="D448" t="s">
        <v>18</v>
      </c>
      <c r="E448" t="s">
        <v>19</v>
      </c>
      <c r="F448">
        <v>1167.3900000000001</v>
      </c>
      <c r="G448">
        <v>5</v>
      </c>
      <c r="H448" s="2">
        <f>Table3[[#This Row],[UnitPrice]]*Table3[Quantity]</f>
        <v>5836.9500000000007</v>
      </c>
      <c r="I448" t="s">
        <v>39</v>
      </c>
      <c r="J448">
        <v>18</v>
      </c>
      <c r="K448" t="s">
        <v>15</v>
      </c>
      <c r="L448" t="s">
        <v>22</v>
      </c>
    </row>
    <row r="449" spans="1:12" x14ac:dyDescent="0.25">
      <c r="A449">
        <v>1448</v>
      </c>
      <c r="B449" s="1">
        <v>45980</v>
      </c>
      <c r="C449" t="s">
        <v>11</v>
      </c>
      <c r="D449" t="s">
        <v>24</v>
      </c>
      <c r="E449" t="s">
        <v>25</v>
      </c>
      <c r="F449">
        <v>85.21</v>
      </c>
      <c r="G449">
        <v>2</v>
      </c>
      <c r="H449" s="2">
        <f>Table3[[#This Row],[UnitPrice]]*Table3[Quantity]</f>
        <v>170.42</v>
      </c>
      <c r="I449" t="s">
        <v>39</v>
      </c>
      <c r="J449">
        <v>62</v>
      </c>
      <c r="K449" t="s">
        <v>27</v>
      </c>
      <c r="L449" t="s">
        <v>28</v>
      </c>
    </row>
    <row r="450" spans="1:12" x14ac:dyDescent="0.25">
      <c r="A450">
        <v>1449</v>
      </c>
      <c r="B450" s="1">
        <v>45880</v>
      </c>
      <c r="C450" t="s">
        <v>17</v>
      </c>
      <c r="D450" t="s">
        <v>24</v>
      </c>
      <c r="E450" t="s">
        <v>43</v>
      </c>
      <c r="F450">
        <v>77.22</v>
      </c>
      <c r="G450">
        <v>2</v>
      </c>
      <c r="H450" s="2">
        <f>Table3[[#This Row],[UnitPrice]]*Table3[Quantity]</f>
        <v>154.44</v>
      </c>
      <c r="I450" t="s">
        <v>73</v>
      </c>
      <c r="J450">
        <v>47</v>
      </c>
      <c r="K450" t="s">
        <v>27</v>
      </c>
      <c r="L450" t="s">
        <v>22</v>
      </c>
    </row>
    <row r="451" spans="1:12" x14ac:dyDescent="0.25">
      <c r="A451">
        <v>1450</v>
      </c>
      <c r="B451" s="1">
        <v>45695</v>
      </c>
      <c r="C451" t="s">
        <v>11</v>
      </c>
      <c r="D451" t="s">
        <v>12</v>
      </c>
      <c r="E451" t="s">
        <v>13</v>
      </c>
      <c r="F451">
        <v>979.04</v>
      </c>
      <c r="G451">
        <v>5</v>
      </c>
      <c r="H451" s="2">
        <f>Table3[[#This Row],[UnitPrice]]*Table3[Quantity]</f>
        <v>4895.2</v>
      </c>
      <c r="I451" t="s">
        <v>37</v>
      </c>
      <c r="J451">
        <v>34</v>
      </c>
      <c r="K451" t="s">
        <v>21</v>
      </c>
      <c r="L451" t="s">
        <v>22</v>
      </c>
    </row>
    <row r="452" spans="1:12" x14ac:dyDescent="0.25">
      <c r="A452">
        <v>1451</v>
      </c>
      <c r="B452" s="1">
        <v>45865</v>
      </c>
      <c r="C452" t="s">
        <v>32</v>
      </c>
      <c r="D452" t="s">
        <v>18</v>
      </c>
      <c r="E452" t="s">
        <v>19</v>
      </c>
      <c r="F452">
        <v>1673.3</v>
      </c>
      <c r="G452">
        <v>5</v>
      </c>
      <c r="H452" s="2">
        <f>Table3[[#This Row],[UnitPrice]]*Table3[Quantity]</f>
        <v>8366.5</v>
      </c>
      <c r="I452" t="s">
        <v>23</v>
      </c>
      <c r="J452">
        <v>59</v>
      </c>
      <c r="K452" t="s">
        <v>27</v>
      </c>
      <c r="L452" t="s">
        <v>22</v>
      </c>
    </row>
    <row r="453" spans="1:12" x14ac:dyDescent="0.25">
      <c r="A453">
        <v>1452</v>
      </c>
      <c r="B453" s="1">
        <v>45957</v>
      </c>
      <c r="C453" t="s">
        <v>11</v>
      </c>
      <c r="D453" t="s">
        <v>24</v>
      </c>
      <c r="E453" t="s">
        <v>43</v>
      </c>
      <c r="F453">
        <v>42.19</v>
      </c>
      <c r="G453">
        <v>5</v>
      </c>
      <c r="H453" s="2">
        <f>Table3[[#This Row],[UnitPrice]]*Table3[Quantity]</f>
        <v>210.95</v>
      </c>
      <c r="I453" t="s">
        <v>26</v>
      </c>
      <c r="J453">
        <v>36</v>
      </c>
      <c r="K453" t="s">
        <v>27</v>
      </c>
      <c r="L453" t="s">
        <v>22</v>
      </c>
    </row>
    <row r="454" spans="1:12" x14ac:dyDescent="0.25">
      <c r="A454">
        <v>1453</v>
      </c>
      <c r="B454" s="1">
        <v>45702</v>
      </c>
      <c r="C454" t="s">
        <v>32</v>
      </c>
      <c r="D454" t="s">
        <v>24</v>
      </c>
      <c r="E454" t="s">
        <v>25</v>
      </c>
      <c r="F454">
        <v>44.33</v>
      </c>
      <c r="G454">
        <v>1</v>
      </c>
      <c r="H454" s="2">
        <f>Table3[[#This Row],[UnitPrice]]*Table3[Quantity]</f>
        <v>44.33</v>
      </c>
      <c r="I454" t="s">
        <v>48</v>
      </c>
      <c r="J454">
        <v>28</v>
      </c>
      <c r="K454" t="s">
        <v>15</v>
      </c>
      <c r="L454" t="s">
        <v>22</v>
      </c>
    </row>
    <row r="455" spans="1:12" x14ac:dyDescent="0.25">
      <c r="A455">
        <v>1454</v>
      </c>
      <c r="B455" s="1">
        <v>45858</v>
      </c>
      <c r="C455" t="s">
        <v>17</v>
      </c>
      <c r="D455" t="s">
        <v>12</v>
      </c>
      <c r="E455" t="s">
        <v>30</v>
      </c>
      <c r="F455">
        <v>849.03</v>
      </c>
      <c r="G455">
        <v>3</v>
      </c>
      <c r="H455" s="2">
        <f>Table3[[#This Row],[UnitPrice]]*Table3[Quantity]</f>
        <v>2547.09</v>
      </c>
      <c r="I455" t="s">
        <v>23</v>
      </c>
      <c r="J455">
        <v>53</v>
      </c>
      <c r="K455" t="s">
        <v>27</v>
      </c>
      <c r="L455" t="s">
        <v>22</v>
      </c>
    </row>
    <row r="456" spans="1:12" x14ac:dyDescent="0.25">
      <c r="A456">
        <v>1455</v>
      </c>
      <c r="B456" s="1">
        <v>45679</v>
      </c>
      <c r="C456" t="s">
        <v>11</v>
      </c>
      <c r="D456" t="s">
        <v>34</v>
      </c>
      <c r="E456" t="s">
        <v>35</v>
      </c>
      <c r="F456">
        <v>614.86</v>
      </c>
      <c r="G456">
        <v>1</v>
      </c>
      <c r="H456" s="2">
        <f>Table3[[#This Row],[UnitPrice]]*Table3[Quantity]</f>
        <v>614.86</v>
      </c>
      <c r="I456" t="s">
        <v>53</v>
      </c>
      <c r="J456">
        <v>31</v>
      </c>
      <c r="K456" t="s">
        <v>27</v>
      </c>
      <c r="L456" t="s">
        <v>16</v>
      </c>
    </row>
    <row r="457" spans="1:12" x14ac:dyDescent="0.25">
      <c r="A457">
        <v>1456</v>
      </c>
      <c r="B457" s="1">
        <v>45834</v>
      </c>
      <c r="C457" t="s">
        <v>11</v>
      </c>
      <c r="D457" t="s">
        <v>18</v>
      </c>
      <c r="E457" t="s">
        <v>19</v>
      </c>
      <c r="F457">
        <v>1160.95</v>
      </c>
      <c r="G457">
        <v>2</v>
      </c>
      <c r="H457" s="2">
        <f>Table3[[#This Row],[UnitPrice]]*Table3[Quantity]</f>
        <v>2321.9</v>
      </c>
      <c r="I457" t="s">
        <v>60</v>
      </c>
      <c r="J457">
        <v>34</v>
      </c>
      <c r="K457" t="s">
        <v>21</v>
      </c>
      <c r="L457" t="s">
        <v>22</v>
      </c>
    </row>
    <row r="458" spans="1:12" x14ac:dyDescent="0.25">
      <c r="A458">
        <v>1457</v>
      </c>
      <c r="B458" s="1">
        <v>45948</v>
      </c>
      <c r="C458" t="s">
        <v>11</v>
      </c>
      <c r="D458" t="s">
        <v>24</v>
      </c>
      <c r="E458" t="s">
        <v>38</v>
      </c>
      <c r="F458">
        <v>51.51</v>
      </c>
      <c r="G458">
        <v>5</v>
      </c>
      <c r="H458" s="2">
        <f>Table3[[#This Row],[UnitPrice]]*Table3[Quantity]</f>
        <v>257.55</v>
      </c>
      <c r="I458" t="s">
        <v>52</v>
      </c>
      <c r="J458">
        <v>36</v>
      </c>
      <c r="K458" t="s">
        <v>15</v>
      </c>
      <c r="L458" t="s">
        <v>22</v>
      </c>
    </row>
    <row r="459" spans="1:12" x14ac:dyDescent="0.25">
      <c r="A459">
        <v>1458</v>
      </c>
      <c r="B459" s="1">
        <v>45759</v>
      </c>
      <c r="C459" t="s">
        <v>17</v>
      </c>
      <c r="D459" t="s">
        <v>34</v>
      </c>
      <c r="E459" t="s">
        <v>35</v>
      </c>
      <c r="F459">
        <v>542.86</v>
      </c>
      <c r="G459">
        <v>2</v>
      </c>
      <c r="H459" s="2">
        <f>Table3[[#This Row],[UnitPrice]]*Table3[Quantity]</f>
        <v>1085.72</v>
      </c>
      <c r="I459" t="s">
        <v>26</v>
      </c>
      <c r="J459">
        <v>36</v>
      </c>
      <c r="K459" t="s">
        <v>15</v>
      </c>
      <c r="L459" t="s">
        <v>16</v>
      </c>
    </row>
    <row r="460" spans="1:12" x14ac:dyDescent="0.25">
      <c r="A460">
        <v>1459</v>
      </c>
      <c r="B460" s="1">
        <v>45820</v>
      </c>
      <c r="C460" t="s">
        <v>32</v>
      </c>
      <c r="D460" t="s">
        <v>18</v>
      </c>
      <c r="E460" t="s">
        <v>19</v>
      </c>
      <c r="F460">
        <v>1693.46</v>
      </c>
      <c r="G460">
        <v>2</v>
      </c>
      <c r="H460" s="2">
        <f>Table3[[#This Row],[UnitPrice]]*Table3[Quantity]</f>
        <v>3386.92</v>
      </c>
      <c r="I460" t="s">
        <v>67</v>
      </c>
      <c r="J460">
        <v>54</v>
      </c>
      <c r="K460" t="s">
        <v>21</v>
      </c>
      <c r="L460" t="s">
        <v>22</v>
      </c>
    </row>
    <row r="461" spans="1:12" x14ac:dyDescent="0.25">
      <c r="A461">
        <v>1460</v>
      </c>
      <c r="B461" s="1">
        <v>45877</v>
      </c>
      <c r="C461" t="s">
        <v>11</v>
      </c>
      <c r="D461" t="s">
        <v>12</v>
      </c>
      <c r="E461" t="s">
        <v>30</v>
      </c>
      <c r="F461">
        <v>1092.83</v>
      </c>
      <c r="G461">
        <v>4</v>
      </c>
      <c r="H461" s="2">
        <f>Table3[[#This Row],[UnitPrice]]*Table3[Quantity]</f>
        <v>4371.32</v>
      </c>
      <c r="I461" t="s">
        <v>68</v>
      </c>
      <c r="J461">
        <v>41</v>
      </c>
      <c r="K461" t="s">
        <v>21</v>
      </c>
      <c r="L461" t="s">
        <v>28</v>
      </c>
    </row>
    <row r="462" spans="1:12" x14ac:dyDescent="0.25">
      <c r="A462">
        <v>1461</v>
      </c>
      <c r="B462" s="1">
        <v>45903</v>
      </c>
      <c r="C462" t="s">
        <v>32</v>
      </c>
      <c r="D462" t="s">
        <v>18</v>
      </c>
      <c r="E462" t="s">
        <v>19</v>
      </c>
      <c r="F462">
        <v>1486.97</v>
      </c>
      <c r="G462">
        <v>1</v>
      </c>
      <c r="H462" s="2">
        <f>Table3[[#This Row],[UnitPrice]]*Table3[Quantity]</f>
        <v>1486.97</v>
      </c>
      <c r="I462" t="s">
        <v>69</v>
      </c>
      <c r="J462">
        <v>59</v>
      </c>
      <c r="K462" t="s">
        <v>15</v>
      </c>
      <c r="L462" t="s">
        <v>16</v>
      </c>
    </row>
    <row r="463" spans="1:12" x14ac:dyDescent="0.25">
      <c r="A463">
        <v>1462</v>
      </c>
      <c r="B463" s="1">
        <v>45729</v>
      </c>
      <c r="C463" t="s">
        <v>17</v>
      </c>
      <c r="D463" t="s">
        <v>12</v>
      </c>
      <c r="E463" t="s">
        <v>30</v>
      </c>
      <c r="F463">
        <v>1063.71</v>
      </c>
      <c r="G463">
        <v>1</v>
      </c>
      <c r="H463" s="2">
        <f>Table3[[#This Row],[UnitPrice]]*Table3[Quantity]</f>
        <v>1063.71</v>
      </c>
      <c r="I463" t="s">
        <v>20</v>
      </c>
      <c r="J463">
        <v>58</v>
      </c>
      <c r="K463" t="s">
        <v>21</v>
      </c>
      <c r="L463" t="s">
        <v>28</v>
      </c>
    </row>
    <row r="464" spans="1:12" x14ac:dyDescent="0.25">
      <c r="A464">
        <v>1463</v>
      </c>
      <c r="B464" s="1">
        <v>45865</v>
      </c>
      <c r="C464" t="s">
        <v>17</v>
      </c>
      <c r="D464" t="s">
        <v>12</v>
      </c>
      <c r="E464" t="s">
        <v>30</v>
      </c>
      <c r="F464">
        <v>975.8</v>
      </c>
      <c r="G464">
        <v>5</v>
      </c>
      <c r="H464" s="2">
        <f>Table3[[#This Row],[UnitPrice]]*Table3[Quantity]</f>
        <v>4879</v>
      </c>
      <c r="I464" t="s">
        <v>39</v>
      </c>
      <c r="J464">
        <v>48</v>
      </c>
      <c r="K464" t="s">
        <v>15</v>
      </c>
      <c r="L464" t="s">
        <v>22</v>
      </c>
    </row>
    <row r="465" spans="1:12" x14ac:dyDescent="0.25">
      <c r="A465">
        <v>1464</v>
      </c>
      <c r="B465" s="1">
        <v>45858</v>
      </c>
      <c r="C465" t="s">
        <v>11</v>
      </c>
      <c r="D465" t="s">
        <v>24</v>
      </c>
      <c r="E465" t="s">
        <v>38</v>
      </c>
      <c r="F465">
        <v>75.989999999999995</v>
      </c>
      <c r="G465">
        <v>3</v>
      </c>
      <c r="H465" s="2">
        <f>Table3[[#This Row],[UnitPrice]]*Table3[Quantity]</f>
        <v>227.96999999999997</v>
      </c>
      <c r="I465" t="s">
        <v>64</v>
      </c>
      <c r="J465">
        <v>47</v>
      </c>
      <c r="K465" t="s">
        <v>15</v>
      </c>
      <c r="L465" t="s">
        <v>22</v>
      </c>
    </row>
    <row r="466" spans="1:12" x14ac:dyDescent="0.25">
      <c r="A466">
        <v>1465</v>
      </c>
      <c r="B466" s="1">
        <v>45844</v>
      </c>
      <c r="C466" t="s">
        <v>17</v>
      </c>
      <c r="D466" t="s">
        <v>12</v>
      </c>
      <c r="E466" t="s">
        <v>30</v>
      </c>
      <c r="F466">
        <v>1123.99</v>
      </c>
      <c r="G466">
        <v>5</v>
      </c>
      <c r="H466" s="2">
        <f>Table3[[#This Row],[UnitPrice]]*Table3[Quantity]</f>
        <v>5619.95</v>
      </c>
      <c r="I466" t="s">
        <v>55</v>
      </c>
      <c r="J466">
        <v>28</v>
      </c>
      <c r="K466" t="s">
        <v>27</v>
      </c>
      <c r="L466" t="s">
        <v>22</v>
      </c>
    </row>
    <row r="467" spans="1:12" x14ac:dyDescent="0.25">
      <c r="A467">
        <v>1466</v>
      </c>
      <c r="B467" s="1">
        <v>45739</v>
      </c>
      <c r="C467" t="s">
        <v>11</v>
      </c>
      <c r="D467" t="s">
        <v>34</v>
      </c>
      <c r="E467" t="s">
        <v>35</v>
      </c>
      <c r="F467">
        <v>694.37</v>
      </c>
      <c r="G467">
        <v>4</v>
      </c>
      <c r="H467" s="2">
        <f>Table3[[#This Row],[UnitPrice]]*Table3[Quantity]</f>
        <v>2777.48</v>
      </c>
      <c r="I467" t="s">
        <v>70</v>
      </c>
      <c r="J467">
        <v>20</v>
      </c>
      <c r="K467" t="s">
        <v>21</v>
      </c>
      <c r="L467" t="s">
        <v>22</v>
      </c>
    </row>
    <row r="468" spans="1:12" x14ac:dyDescent="0.25">
      <c r="A468">
        <v>1467</v>
      </c>
      <c r="B468" s="1">
        <v>45690</v>
      </c>
      <c r="C468" t="s">
        <v>32</v>
      </c>
      <c r="D468" t="s">
        <v>18</v>
      </c>
      <c r="E468" t="s">
        <v>19</v>
      </c>
      <c r="F468">
        <v>1668.59</v>
      </c>
      <c r="G468">
        <v>5</v>
      </c>
      <c r="H468" s="2">
        <f>Table3[[#This Row],[UnitPrice]]*Table3[Quantity]</f>
        <v>8342.9499999999989</v>
      </c>
      <c r="I468" t="s">
        <v>75</v>
      </c>
      <c r="J468">
        <v>42</v>
      </c>
      <c r="K468" t="s">
        <v>21</v>
      </c>
      <c r="L468" t="s">
        <v>22</v>
      </c>
    </row>
    <row r="469" spans="1:12" x14ac:dyDescent="0.25">
      <c r="A469">
        <v>1468</v>
      </c>
      <c r="B469" s="1">
        <v>45681</v>
      </c>
      <c r="C469" t="s">
        <v>11</v>
      </c>
      <c r="D469" t="s">
        <v>24</v>
      </c>
      <c r="E469" t="s">
        <v>25</v>
      </c>
      <c r="F469">
        <v>19.29</v>
      </c>
      <c r="G469">
        <v>5</v>
      </c>
      <c r="H469" s="2">
        <f>Table3[[#This Row],[UnitPrice]]*Table3[Quantity]</f>
        <v>96.449999999999989</v>
      </c>
      <c r="I469" t="s">
        <v>80</v>
      </c>
      <c r="J469">
        <v>35</v>
      </c>
      <c r="K469" t="s">
        <v>27</v>
      </c>
      <c r="L469" t="s">
        <v>22</v>
      </c>
    </row>
    <row r="470" spans="1:12" x14ac:dyDescent="0.25">
      <c r="A470">
        <v>1469</v>
      </c>
      <c r="B470" s="1">
        <v>45936</v>
      </c>
      <c r="C470" t="s">
        <v>17</v>
      </c>
      <c r="D470" t="s">
        <v>12</v>
      </c>
      <c r="E470" t="s">
        <v>13</v>
      </c>
      <c r="F470">
        <v>882.65</v>
      </c>
      <c r="G470">
        <v>1</v>
      </c>
      <c r="H470" s="2">
        <f>Table3[[#This Row],[UnitPrice]]*Table3[Quantity]</f>
        <v>882.65</v>
      </c>
      <c r="I470" t="s">
        <v>76</v>
      </c>
      <c r="J470">
        <v>34</v>
      </c>
      <c r="K470" t="s">
        <v>21</v>
      </c>
      <c r="L470" t="s">
        <v>16</v>
      </c>
    </row>
    <row r="471" spans="1:12" x14ac:dyDescent="0.25">
      <c r="A471">
        <v>1470</v>
      </c>
      <c r="B471" s="1">
        <v>45922</v>
      </c>
      <c r="C471" t="s">
        <v>32</v>
      </c>
      <c r="D471" t="s">
        <v>18</v>
      </c>
      <c r="E471" t="s">
        <v>19</v>
      </c>
      <c r="F471">
        <v>1486.86</v>
      </c>
      <c r="G471">
        <v>4</v>
      </c>
      <c r="H471" s="2">
        <f>Table3[[#This Row],[UnitPrice]]*Table3[Quantity]</f>
        <v>5947.44</v>
      </c>
      <c r="I471" t="s">
        <v>63</v>
      </c>
      <c r="J471">
        <v>18</v>
      </c>
      <c r="K471" t="s">
        <v>15</v>
      </c>
      <c r="L471" t="s">
        <v>22</v>
      </c>
    </row>
    <row r="472" spans="1:12" x14ac:dyDescent="0.25">
      <c r="A472">
        <v>1471</v>
      </c>
      <c r="B472" s="1">
        <v>45742</v>
      </c>
      <c r="C472" t="s">
        <v>11</v>
      </c>
      <c r="D472" t="s">
        <v>12</v>
      </c>
      <c r="E472" t="s">
        <v>13</v>
      </c>
      <c r="F472">
        <v>805.76</v>
      </c>
      <c r="G472">
        <v>2</v>
      </c>
      <c r="H472" s="2">
        <f>Table3[[#This Row],[UnitPrice]]*Table3[Quantity]</f>
        <v>1611.52</v>
      </c>
      <c r="I472" t="s">
        <v>36</v>
      </c>
      <c r="J472">
        <v>41</v>
      </c>
      <c r="K472" t="s">
        <v>15</v>
      </c>
      <c r="L472" t="s">
        <v>16</v>
      </c>
    </row>
    <row r="473" spans="1:12" x14ac:dyDescent="0.25">
      <c r="A473">
        <v>1472</v>
      </c>
      <c r="B473" s="1">
        <v>45996</v>
      </c>
      <c r="C473" t="s">
        <v>11</v>
      </c>
      <c r="D473" t="s">
        <v>18</v>
      </c>
      <c r="E473" t="s">
        <v>19</v>
      </c>
      <c r="F473">
        <v>1720.26</v>
      </c>
      <c r="G473">
        <v>4</v>
      </c>
      <c r="H473" s="2">
        <f>Table3[[#This Row],[UnitPrice]]*Table3[Quantity]</f>
        <v>6881.04</v>
      </c>
      <c r="I473" t="s">
        <v>55</v>
      </c>
      <c r="J473">
        <v>48</v>
      </c>
      <c r="K473" t="s">
        <v>21</v>
      </c>
      <c r="L473" t="s">
        <v>28</v>
      </c>
    </row>
    <row r="474" spans="1:12" x14ac:dyDescent="0.25">
      <c r="A474">
        <v>1473</v>
      </c>
      <c r="B474" s="1">
        <v>45989</v>
      </c>
      <c r="C474" t="s">
        <v>32</v>
      </c>
      <c r="D474" t="s">
        <v>12</v>
      </c>
      <c r="E474" t="s">
        <v>30</v>
      </c>
      <c r="F474">
        <v>763.94</v>
      </c>
      <c r="G474">
        <v>5</v>
      </c>
      <c r="H474" s="2">
        <f>Table3[[#This Row],[UnitPrice]]*Table3[Quantity]</f>
        <v>3819.7000000000003</v>
      </c>
      <c r="I474" t="s">
        <v>36</v>
      </c>
      <c r="J474">
        <v>26</v>
      </c>
      <c r="K474" t="s">
        <v>15</v>
      </c>
      <c r="L474" t="s">
        <v>22</v>
      </c>
    </row>
    <row r="475" spans="1:12" x14ac:dyDescent="0.25">
      <c r="A475">
        <v>1474</v>
      </c>
      <c r="B475" s="1">
        <v>45951</v>
      </c>
      <c r="C475" t="s">
        <v>11</v>
      </c>
      <c r="D475" t="s">
        <v>12</v>
      </c>
      <c r="E475" t="s">
        <v>13</v>
      </c>
      <c r="F475">
        <v>1161.22</v>
      </c>
      <c r="G475">
        <v>5</v>
      </c>
      <c r="H475" s="2">
        <f>Table3[[#This Row],[UnitPrice]]*Table3[Quantity]</f>
        <v>5806.1</v>
      </c>
      <c r="I475" t="s">
        <v>56</v>
      </c>
      <c r="J475">
        <v>56</v>
      </c>
      <c r="K475" t="s">
        <v>27</v>
      </c>
      <c r="L475" t="s">
        <v>28</v>
      </c>
    </row>
    <row r="476" spans="1:12" x14ac:dyDescent="0.25">
      <c r="A476">
        <v>1475</v>
      </c>
      <c r="B476" s="1">
        <v>45996</v>
      </c>
      <c r="C476" t="s">
        <v>32</v>
      </c>
      <c r="D476" t="s">
        <v>24</v>
      </c>
      <c r="E476" t="s">
        <v>43</v>
      </c>
      <c r="F476">
        <v>50.43</v>
      </c>
      <c r="G476">
        <v>4</v>
      </c>
      <c r="H476" s="2">
        <f>Table3[[#This Row],[UnitPrice]]*Table3[Quantity]</f>
        <v>201.72</v>
      </c>
      <c r="I476" t="s">
        <v>48</v>
      </c>
      <c r="J476">
        <v>28</v>
      </c>
      <c r="K476" t="s">
        <v>21</v>
      </c>
      <c r="L476" t="s">
        <v>22</v>
      </c>
    </row>
    <row r="477" spans="1:12" x14ac:dyDescent="0.25">
      <c r="A477">
        <v>1476</v>
      </c>
      <c r="B477" s="1">
        <v>45731</v>
      </c>
      <c r="C477" t="s">
        <v>17</v>
      </c>
      <c r="D477" t="s">
        <v>24</v>
      </c>
      <c r="E477" t="s">
        <v>43</v>
      </c>
      <c r="F477">
        <v>66.09</v>
      </c>
      <c r="G477">
        <v>5</v>
      </c>
      <c r="H477" s="2">
        <f>Table3[[#This Row],[UnitPrice]]*Table3[Quantity]</f>
        <v>330.45000000000005</v>
      </c>
      <c r="I477" t="s">
        <v>66</v>
      </c>
      <c r="J477">
        <v>28</v>
      </c>
      <c r="K477" t="s">
        <v>27</v>
      </c>
      <c r="L477" t="s">
        <v>22</v>
      </c>
    </row>
    <row r="478" spans="1:12" x14ac:dyDescent="0.25">
      <c r="A478">
        <v>1477</v>
      </c>
      <c r="B478" s="1">
        <v>45890</v>
      </c>
      <c r="C478" t="s">
        <v>17</v>
      </c>
      <c r="D478" t="s">
        <v>34</v>
      </c>
      <c r="E478" t="s">
        <v>35</v>
      </c>
      <c r="F478">
        <v>551.28</v>
      </c>
      <c r="G478">
        <v>2</v>
      </c>
      <c r="H478" s="2">
        <f>Table3[[#This Row],[UnitPrice]]*Table3[Quantity]</f>
        <v>1102.56</v>
      </c>
      <c r="I478" t="s">
        <v>26</v>
      </c>
      <c r="J478">
        <v>19</v>
      </c>
      <c r="K478" t="s">
        <v>21</v>
      </c>
      <c r="L478" t="s">
        <v>16</v>
      </c>
    </row>
    <row r="479" spans="1:12" x14ac:dyDescent="0.25">
      <c r="A479">
        <v>1478</v>
      </c>
      <c r="B479" s="1">
        <v>45916</v>
      </c>
      <c r="C479" t="s">
        <v>17</v>
      </c>
      <c r="D479" t="s">
        <v>18</v>
      </c>
      <c r="E479" t="s">
        <v>19</v>
      </c>
      <c r="F479">
        <v>1605.51</v>
      </c>
      <c r="G479">
        <v>2</v>
      </c>
      <c r="H479" s="2">
        <f>Table3[[#This Row],[UnitPrice]]*Table3[Quantity]</f>
        <v>3211.02</v>
      </c>
      <c r="I479" t="s">
        <v>48</v>
      </c>
      <c r="J479">
        <v>57</v>
      </c>
      <c r="K479" t="s">
        <v>15</v>
      </c>
      <c r="L479" t="s">
        <v>16</v>
      </c>
    </row>
    <row r="480" spans="1:12" x14ac:dyDescent="0.25">
      <c r="A480">
        <v>1479</v>
      </c>
      <c r="B480" s="1">
        <v>45930</v>
      </c>
      <c r="C480" t="s">
        <v>17</v>
      </c>
      <c r="D480" t="s">
        <v>24</v>
      </c>
      <c r="E480" t="s">
        <v>43</v>
      </c>
      <c r="F480">
        <v>53.4</v>
      </c>
      <c r="G480">
        <v>2</v>
      </c>
      <c r="H480" s="2">
        <f>Table3[[#This Row],[UnitPrice]]*Table3[Quantity]</f>
        <v>106.8</v>
      </c>
      <c r="I480" t="s">
        <v>63</v>
      </c>
      <c r="J480">
        <v>52</v>
      </c>
      <c r="K480" t="s">
        <v>27</v>
      </c>
      <c r="L480" t="s">
        <v>16</v>
      </c>
    </row>
    <row r="481" spans="1:12" x14ac:dyDescent="0.25">
      <c r="A481">
        <v>1480</v>
      </c>
      <c r="B481" s="1">
        <v>46005</v>
      </c>
      <c r="C481" t="s">
        <v>17</v>
      </c>
      <c r="D481" t="s">
        <v>18</v>
      </c>
      <c r="E481" t="s">
        <v>19</v>
      </c>
      <c r="F481">
        <v>1370.38</v>
      </c>
      <c r="G481">
        <v>1</v>
      </c>
      <c r="H481" s="2">
        <f>Table3[[#This Row],[UnitPrice]]*Table3[Quantity]</f>
        <v>1370.38</v>
      </c>
      <c r="I481" t="s">
        <v>74</v>
      </c>
      <c r="J481">
        <v>51</v>
      </c>
      <c r="K481" t="s">
        <v>21</v>
      </c>
      <c r="L481" t="s">
        <v>16</v>
      </c>
    </row>
    <row r="482" spans="1:12" x14ac:dyDescent="0.25">
      <c r="A482">
        <v>1481</v>
      </c>
      <c r="B482" s="1">
        <v>45904</v>
      </c>
      <c r="C482" t="s">
        <v>32</v>
      </c>
      <c r="D482" t="s">
        <v>18</v>
      </c>
      <c r="E482" t="s">
        <v>19</v>
      </c>
      <c r="F482">
        <v>1425.49</v>
      </c>
      <c r="G482">
        <v>3</v>
      </c>
      <c r="H482" s="2">
        <f>Table3[[#This Row],[UnitPrice]]*Table3[Quantity]</f>
        <v>4276.47</v>
      </c>
      <c r="I482" t="s">
        <v>48</v>
      </c>
      <c r="J482">
        <v>32</v>
      </c>
      <c r="K482" t="s">
        <v>27</v>
      </c>
      <c r="L482" t="s">
        <v>22</v>
      </c>
    </row>
    <row r="483" spans="1:12" x14ac:dyDescent="0.25">
      <c r="A483">
        <v>1482</v>
      </c>
      <c r="B483" s="1">
        <v>45964</v>
      </c>
      <c r="C483" t="s">
        <v>17</v>
      </c>
      <c r="D483" t="s">
        <v>18</v>
      </c>
      <c r="E483" t="s">
        <v>19</v>
      </c>
      <c r="F483">
        <v>1005.47</v>
      </c>
      <c r="G483">
        <v>1</v>
      </c>
      <c r="H483" s="2">
        <f>Table3[[#This Row],[UnitPrice]]*Table3[Quantity]</f>
        <v>1005.47</v>
      </c>
      <c r="I483" t="s">
        <v>67</v>
      </c>
      <c r="J483">
        <v>51</v>
      </c>
      <c r="K483" t="s">
        <v>21</v>
      </c>
      <c r="L483" t="s">
        <v>22</v>
      </c>
    </row>
    <row r="484" spans="1:12" x14ac:dyDescent="0.25">
      <c r="A484">
        <v>1483</v>
      </c>
      <c r="B484" s="1">
        <v>45993</v>
      </c>
      <c r="C484" t="s">
        <v>11</v>
      </c>
      <c r="D484" t="s">
        <v>34</v>
      </c>
      <c r="E484" t="s">
        <v>35</v>
      </c>
      <c r="F484">
        <v>563.54</v>
      </c>
      <c r="G484">
        <v>1</v>
      </c>
      <c r="H484" s="2">
        <f>Table3[[#This Row],[UnitPrice]]*Table3[Quantity]</f>
        <v>563.54</v>
      </c>
      <c r="I484" t="s">
        <v>77</v>
      </c>
      <c r="J484">
        <v>45</v>
      </c>
      <c r="K484" t="s">
        <v>15</v>
      </c>
      <c r="L484" t="s">
        <v>22</v>
      </c>
    </row>
    <row r="485" spans="1:12" x14ac:dyDescent="0.25">
      <c r="A485">
        <v>1484</v>
      </c>
      <c r="B485" s="1">
        <v>45932</v>
      </c>
      <c r="C485" t="s">
        <v>32</v>
      </c>
      <c r="D485" t="s">
        <v>34</v>
      </c>
      <c r="E485" t="s">
        <v>35</v>
      </c>
      <c r="F485">
        <v>796.72</v>
      </c>
      <c r="G485">
        <v>4</v>
      </c>
      <c r="H485" s="2">
        <f>Table3[[#This Row],[UnitPrice]]*Table3[Quantity]</f>
        <v>3186.88</v>
      </c>
      <c r="I485" t="s">
        <v>40</v>
      </c>
      <c r="J485">
        <v>31</v>
      </c>
      <c r="K485" t="s">
        <v>21</v>
      </c>
      <c r="L485" t="s">
        <v>28</v>
      </c>
    </row>
    <row r="486" spans="1:12" x14ac:dyDescent="0.25">
      <c r="A486">
        <v>1485</v>
      </c>
      <c r="B486" s="1">
        <v>45905</v>
      </c>
      <c r="C486" t="s">
        <v>11</v>
      </c>
      <c r="D486" t="s">
        <v>18</v>
      </c>
      <c r="E486" t="s">
        <v>19</v>
      </c>
      <c r="F486">
        <v>1253.78</v>
      </c>
      <c r="G486">
        <v>3</v>
      </c>
      <c r="H486" s="2">
        <f>Table3[[#This Row],[UnitPrice]]*Table3[Quantity]</f>
        <v>3761.34</v>
      </c>
      <c r="I486" t="s">
        <v>67</v>
      </c>
      <c r="J486">
        <v>40</v>
      </c>
      <c r="K486" t="s">
        <v>27</v>
      </c>
      <c r="L486" t="s">
        <v>22</v>
      </c>
    </row>
    <row r="487" spans="1:12" x14ac:dyDescent="0.25">
      <c r="A487">
        <v>1486</v>
      </c>
      <c r="B487" s="1">
        <v>45728</v>
      </c>
      <c r="C487" t="s">
        <v>17</v>
      </c>
      <c r="D487" t="s">
        <v>12</v>
      </c>
      <c r="E487" t="s">
        <v>30</v>
      </c>
      <c r="F487">
        <v>923.3</v>
      </c>
      <c r="G487">
        <v>2</v>
      </c>
      <c r="H487" s="2">
        <f>Table3[[#This Row],[UnitPrice]]*Table3[Quantity]</f>
        <v>1846.6</v>
      </c>
      <c r="I487" t="s">
        <v>26</v>
      </c>
      <c r="J487">
        <v>31</v>
      </c>
      <c r="K487" t="s">
        <v>15</v>
      </c>
      <c r="L487" t="s">
        <v>28</v>
      </c>
    </row>
    <row r="488" spans="1:12" x14ac:dyDescent="0.25">
      <c r="A488">
        <v>1487</v>
      </c>
      <c r="B488" s="1">
        <v>45939</v>
      </c>
      <c r="C488" t="s">
        <v>17</v>
      </c>
      <c r="D488" t="s">
        <v>34</v>
      </c>
      <c r="E488" t="s">
        <v>35</v>
      </c>
      <c r="F488">
        <v>464.3</v>
      </c>
      <c r="G488">
        <v>1</v>
      </c>
      <c r="H488" s="2">
        <f>Table3[[#This Row],[UnitPrice]]*Table3[Quantity]</f>
        <v>464.3</v>
      </c>
      <c r="I488" t="s">
        <v>29</v>
      </c>
      <c r="J488">
        <v>27</v>
      </c>
      <c r="K488" t="s">
        <v>21</v>
      </c>
      <c r="L488" t="s">
        <v>28</v>
      </c>
    </row>
    <row r="489" spans="1:12" x14ac:dyDescent="0.25">
      <c r="A489">
        <v>1488</v>
      </c>
      <c r="B489" s="1">
        <v>45703</v>
      </c>
      <c r="C489" t="s">
        <v>11</v>
      </c>
      <c r="D489" t="s">
        <v>12</v>
      </c>
      <c r="E489" t="s">
        <v>13</v>
      </c>
      <c r="F489">
        <v>740.02</v>
      </c>
      <c r="G489">
        <v>1</v>
      </c>
      <c r="H489" s="2">
        <f>Table3[[#This Row],[UnitPrice]]*Table3[Quantity]</f>
        <v>740.02</v>
      </c>
      <c r="I489" t="s">
        <v>45</v>
      </c>
      <c r="J489">
        <v>42</v>
      </c>
      <c r="K489" t="s">
        <v>27</v>
      </c>
      <c r="L489" t="s">
        <v>22</v>
      </c>
    </row>
    <row r="490" spans="1:12" x14ac:dyDescent="0.25">
      <c r="A490">
        <v>1489</v>
      </c>
      <c r="B490" s="1">
        <v>45993</v>
      </c>
      <c r="C490" t="s">
        <v>17</v>
      </c>
      <c r="D490" t="s">
        <v>12</v>
      </c>
      <c r="E490" t="s">
        <v>30</v>
      </c>
      <c r="F490">
        <v>1172.8599999999999</v>
      </c>
      <c r="G490">
        <v>2</v>
      </c>
      <c r="H490" s="2">
        <f>Table3[[#This Row],[UnitPrice]]*Table3[Quantity]</f>
        <v>2345.7199999999998</v>
      </c>
      <c r="I490" t="s">
        <v>80</v>
      </c>
      <c r="J490">
        <v>49</v>
      </c>
      <c r="K490" t="s">
        <v>21</v>
      </c>
      <c r="L490" t="s">
        <v>22</v>
      </c>
    </row>
    <row r="491" spans="1:12" x14ac:dyDescent="0.25">
      <c r="A491">
        <v>1490</v>
      </c>
      <c r="B491" s="1">
        <v>45994</v>
      </c>
      <c r="C491" t="s">
        <v>17</v>
      </c>
      <c r="D491" t="s">
        <v>12</v>
      </c>
      <c r="E491" t="s">
        <v>30</v>
      </c>
      <c r="F491">
        <v>1091.98</v>
      </c>
      <c r="G491">
        <v>5</v>
      </c>
      <c r="H491" s="2">
        <f>Table3[[#This Row],[UnitPrice]]*Table3[Quantity]</f>
        <v>5459.9</v>
      </c>
      <c r="I491" t="s">
        <v>76</v>
      </c>
      <c r="J491">
        <v>62</v>
      </c>
      <c r="K491" t="s">
        <v>21</v>
      </c>
      <c r="L491" t="s">
        <v>22</v>
      </c>
    </row>
    <row r="492" spans="1:12" x14ac:dyDescent="0.25">
      <c r="A492">
        <v>1491</v>
      </c>
      <c r="B492" s="1">
        <v>45676</v>
      </c>
      <c r="C492" t="s">
        <v>32</v>
      </c>
      <c r="D492" t="s">
        <v>12</v>
      </c>
      <c r="E492" t="s">
        <v>30</v>
      </c>
      <c r="F492">
        <v>1187.82</v>
      </c>
      <c r="G492">
        <v>1</v>
      </c>
      <c r="H492" s="2">
        <f>Table3[[#This Row],[UnitPrice]]*Table3[Quantity]</f>
        <v>1187.82</v>
      </c>
      <c r="I492" t="s">
        <v>68</v>
      </c>
      <c r="J492">
        <v>43</v>
      </c>
      <c r="K492" t="s">
        <v>21</v>
      </c>
      <c r="L492" t="s">
        <v>22</v>
      </c>
    </row>
    <row r="493" spans="1:12" x14ac:dyDescent="0.25">
      <c r="A493">
        <v>1492</v>
      </c>
      <c r="B493" s="1">
        <v>45958</v>
      </c>
      <c r="C493" t="s">
        <v>11</v>
      </c>
      <c r="D493" t="s">
        <v>18</v>
      </c>
      <c r="E493" t="s">
        <v>19</v>
      </c>
      <c r="F493">
        <v>1919.18</v>
      </c>
      <c r="G493">
        <v>5</v>
      </c>
      <c r="H493" s="2">
        <f>Table3[[#This Row],[UnitPrice]]*Table3[Quantity]</f>
        <v>9595.9</v>
      </c>
      <c r="I493" t="s">
        <v>49</v>
      </c>
      <c r="J493">
        <v>64</v>
      </c>
      <c r="K493" t="s">
        <v>27</v>
      </c>
      <c r="L493" t="s">
        <v>16</v>
      </c>
    </row>
    <row r="494" spans="1:12" x14ac:dyDescent="0.25">
      <c r="A494">
        <v>1493</v>
      </c>
      <c r="B494" s="1">
        <v>45836</v>
      </c>
      <c r="C494" t="s">
        <v>32</v>
      </c>
      <c r="D494" t="s">
        <v>24</v>
      </c>
      <c r="E494" t="s">
        <v>25</v>
      </c>
      <c r="F494">
        <v>30.37</v>
      </c>
      <c r="G494">
        <v>2</v>
      </c>
      <c r="H494" s="2">
        <f>Table3[[#This Row],[UnitPrice]]*Table3[Quantity]</f>
        <v>60.74</v>
      </c>
      <c r="I494" t="s">
        <v>41</v>
      </c>
      <c r="J494">
        <v>43</v>
      </c>
      <c r="K494" t="s">
        <v>15</v>
      </c>
      <c r="L494" t="s">
        <v>22</v>
      </c>
    </row>
    <row r="495" spans="1:12" x14ac:dyDescent="0.25">
      <c r="A495">
        <v>1494</v>
      </c>
      <c r="B495" s="1">
        <v>45866</v>
      </c>
      <c r="C495" t="s">
        <v>17</v>
      </c>
      <c r="D495" t="s">
        <v>12</v>
      </c>
      <c r="E495" t="s">
        <v>30</v>
      </c>
      <c r="F495">
        <v>951.58</v>
      </c>
      <c r="G495">
        <v>3</v>
      </c>
      <c r="H495" s="2">
        <f>Table3[[#This Row],[UnitPrice]]*Table3[Quantity]</f>
        <v>2854.7400000000002</v>
      </c>
      <c r="I495" t="s">
        <v>44</v>
      </c>
      <c r="J495">
        <v>50</v>
      </c>
      <c r="K495" t="s">
        <v>27</v>
      </c>
      <c r="L495" t="s">
        <v>16</v>
      </c>
    </row>
    <row r="496" spans="1:12" x14ac:dyDescent="0.25">
      <c r="A496">
        <v>1495</v>
      </c>
      <c r="B496" s="1">
        <v>45952</v>
      </c>
      <c r="C496" t="s">
        <v>32</v>
      </c>
      <c r="D496" t="s">
        <v>34</v>
      </c>
      <c r="E496" t="s">
        <v>35</v>
      </c>
      <c r="F496">
        <v>625.27</v>
      </c>
      <c r="G496">
        <v>2</v>
      </c>
      <c r="H496" s="2">
        <f>Table3[[#This Row],[UnitPrice]]*Table3[Quantity]</f>
        <v>1250.54</v>
      </c>
      <c r="I496" t="s">
        <v>40</v>
      </c>
      <c r="J496">
        <v>39</v>
      </c>
      <c r="K496" t="s">
        <v>27</v>
      </c>
      <c r="L496" t="s">
        <v>22</v>
      </c>
    </row>
    <row r="497" spans="1:12" x14ac:dyDescent="0.25">
      <c r="A497">
        <v>1496</v>
      </c>
      <c r="B497" s="1">
        <v>45893</v>
      </c>
      <c r="C497" t="s">
        <v>17</v>
      </c>
      <c r="D497" t="s">
        <v>24</v>
      </c>
      <c r="E497" t="s">
        <v>25</v>
      </c>
      <c r="F497">
        <v>20.46</v>
      </c>
      <c r="G497">
        <v>1</v>
      </c>
      <c r="H497" s="2">
        <f>Table3[[#This Row],[UnitPrice]]*Table3[Quantity]</f>
        <v>20.46</v>
      </c>
      <c r="I497" t="s">
        <v>71</v>
      </c>
      <c r="J497">
        <v>58</v>
      </c>
      <c r="K497" t="s">
        <v>27</v>
      </c>
      <c r="L497" t="s">
        <v>22</v>
      </c>
    </row>
    <row r="498" spans="1:12" x14ac:dyDescent="0.25">
      <c r="A498">
        <v>1497</v>
      </c>
      <c r="B498" s="1">
        <v>46017</v>
      </c>
      <c r="C498" t="s">
        <v>11</v>
      </c>
      <c r="D498" t="s">
        <v>24</v>
      </c>
      <c r="E498" t="s">
        <v>25</v>
      </c>
      <c r="F498">
        <v>95.99</v>
      </c>
      <c r="G498">
        <v>5</v>
      </c>
      <c r="H498" s="2">
        <f>Table3[[#This Row],[UnitPrice]]*Table3[Quantity]</f>
        <v>479.95</v>
      </c>
      <c r="I498" t="s">
        <v>39</v>
      </c>
      <c r="J498">
        <v>18</v>
      </c>
      <c r="K498" t="s">
        <v>27</v>
      </c>
      <c r="L498" t="s">
        <v>22</v>
      </c>
    </row>
    <row r="499" spans="1:12" x14ac:dyDescent="0.25">
      <c r="A499">
        <v>1498</v>
      </c>
      <c r="B499" s="1">
        <v>45805</v>
      </c>
      <c r="C499" t="s">
        <v>11</v>
      </c>
      <c r="D499" t="s">
        <v>18</v>
      </c>
      <c r="E499" t="s">
        <v>19</v>
      </c>
      <c r="F499">
        <v>1076.03</v>
      </c>
      <c r="G499">
        <v>2</v>
      </c>
      <c r="H499" s="2">
        <f>Table3[[#This Row],[UnitPrice]]*Table3[Quantity]</f>
        <v>2152.06</v>
      </c>
      <c r="I499" t="s">
        <v>48</v>
      </c>
      <c r="J499">
        <v>38</v>
      </c>
      <c r="K499" t="s">
        <v>21</v>
      </c>
      <c r="L499" t="s">
        <v>16</v>
      </c>
    </row>
    <row r="500" spans="1:12" x14ac:dyDescent="0.25">
      <c r="A500">
        <v>1499</v>
      </c>
      <c r="B500" s="1">
        <v>45795</v>
      </c>
      <c r="C500" t="s">
        <v>11</v>
      </c>
      <c r="D500" t="s">
        <v>24</v>
      </c>
      <c r="E500" t="s">
        <v>38</v>
      </c>
      <c r="F500">
        <v>93.72</v>
      </c>
      <c r="G500">
        <v>2</v>
      </c>
      <c r="H500" s="2">
        <f>Table3[[#This Row],[UnitPrice]]*Table3[Quantity]</f>
        <v>187.44</v>
      </c>
      <c r="I500" t="s">
        <v>62</v>
      </c>
      <c r="J500">
        <v>65</v>
      </c>
      <c r="K500" t="s">
        <v>21</v>
      </c>
      <c r="L500" t="s">
        <v>28</v>
      </c>
    </row>
    <row r="501" spans="1:12" x14ac:dyDescent="0.25">
      <c r="A501">
        <v>1500</v>
      </c>
      <c r="B501" s="1">
        <v>45793</v>
      </c>
      <c r="C501" t="s">
        <v>11</v>
      </c>
      <c r="D501" t="s">
        <v>12</v>
      </c>
      <c r="E501" t="s">
        <v>30</v>
      </c>
      <c r="F501">
        <v>1118.17</v>
      </c>
      <c r="G501">
        <v>3</v>
      </c>
      <c r="H501" s="2">
        <f>Table3[[#This Row],[UnitPrice]]*Table3[Quantity]</f>
        <v>3354.51</v>
      </c>
      <c r="I501" t="s">
        <v>77</v>
      </c>
      <c r="J501">
        <v>24</v>
      </c>
      <c r="K501" t="s">
        <v>21</v>
      </c>
      <c r="L501"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CATEGORY MENU</vt:lpstr>
      <vt:lpstr>PIVOT MONTHLY TREND</vt:lpstr>
      <vt:lpstr>SALES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2026-01-22T16:28:14Z</dcterms:created>
  <dcterms:modified xsi:type="dcterms:W3CDTF">2026-01-22T16:49:02Z</dcterms:modified>
</cp:coreProperties>
</file>