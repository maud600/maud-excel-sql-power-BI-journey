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6815" windowHeight="7635" activeTab="3"/>
  </bookViews>
  <sheets>
    <sheet name="total sales by region" sheetId="2" r:id="rId1"/>
    <sheet name="total sales by product" sheetId="3" r:id="rId2"/>
    <sheet name="top performing sales person" sheetId="4" r:id="rId3"/>
    <sheet name="Raw Data" sheetId="1" r:id="rId4"/>
  </sheets>
  <calcPr calcId="152511"/>
  <pivotCaches>
    <pivotCache cacheId="8" r:id="rId5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<sst xmlns="http://schemas.openxmlformats.org/spreadsheetml/2006/main" count="5031" uniqueCount="33">
  <si>
    <t>Date</t>
  </si>
  <si>
    <t>Region</t>
  </si>
  <si>
    <t>Quantity Sold</t>
  </si>
  <si>
    <t>Unit Price</t>
  </si>
  <si>
    <t>Total Sales</t>
  </si>
  <si>
    <t>Payment Method</t>
  </si>
  <si>
    <t>Kitwe</t>
  </si>
  <si>
    <t>Mouse</t>
  </si>
  <si>
    <t>Cash</t>
  </si>
  <si>
    <t>Mary Zulu</t>
  </si>
  <si>
    <t>Keyboard</t>
  </si>
  <si>
    <t>Mobile Money</t>
  </si>
  <si>
    <t>Chipo Mulenga</t>
  </si>
  <si>
    <t>Solwezi</t>
  </si>
  <si>
    <t>Bank</t>
  </si>
  <si>
    <t>Alice Phiri</t>
  </si>
  <si>
    <t>Ndola</t>
  </si>
  <si>
    <t>Printer</t>
  </si>
  <si>
    <t>Monitor</t>
  </si>
  <si>
    <t>Kelvin Sampa</t>
  </si>
  <si>
    <t>Laptop</t>
  </si>
  <si>
    <t>Lusaka</t>
  </si>
  <si>
    <t>Livingstone</t>
  </si>
  <si>
    <t>Brian Tembo</t>
  </si>
  <si>
    <t>Ruth Nasilele</t>
  </si>
  <si>
    <t>John Banda</t>
  </si>
  <si>
    <t>Peter Mwansa</t>
  </si>
  <si>
    <t>Sales category</t>
  </si>
  <si>
    <t>Sales person</t>
  </si>
  <si>
    <t>Row Labels</t>
  </si>
  <si>
    <t>Grand Total</t>
  </si>
  <si>
    <t>Sum of Total Sales</t>
  </si>
  <si>
    <t>Count of Sales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</si>
</sst>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52.706504282411" createdVersion="5" refreshedVersion="5" minRefreshableVersion="3" recordCount="1000">
  <cacheSource type="worksheet">
    <worksheetSource name="Table1"/>
  </cacheSource>
  <cacheFields count="9">
    <cacheField name="Date" numFmtId="14">
      <sharedItems containsSemiMixedTypes="0" containsNonDate="0" containsDate="1" containsString="0" minDate="2024-01-01T00:00:00" maxDate="2025-01-01T00:00:00"/>
    </cacheField>
    <cacheField name="Sales person" numFmtId="0">
      <sharedItems count="8">
        <s v="John Banda"/>
        <s v="Mary Zulu"/>
        <s v="Chipo Mulenga"/>
        <s v="Alice Phiri"/>
        <s v="Peter Mwansa"/>
        <s v="Kelvin Sampa"/>
        <s v="Brian Tembo"/>
        <s v="Ruth Nasilele"/>
      </sharedItems>
    </cacheField>
    <cacheField name="Region" numFmtId="0">
      <sharedItems count="5">
        <s v="Kitwe"/>
        <s v="Solwezi"/>
        <s v="Ndola"/>
        <s v="Lusaka"/>
        <s v="Livingstone"/>
      </sharedItems>
    </cacheField>
    <cacheField name="Mouse" numFmtId="0">
      <sharedItems count="5">
        <s v="Keyboard"/>
        <s v="Mouse"/>
        <s v="Printer"/>
        <s v="Monitor"/>
        <s v="Laptop"/>
      </sharedItems>
    </cacheField>
    <cacheField name="Quantity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150" maxValue="8500"/>
    </cacheField>
    <cacheField name="Total Sales" numFmtId="2">
      <sharedItems containsSemiMixedTypes="0" containsString="0" containsNumber="1" containsInteger="1" minValue="150" maxValue="85000"/>
    </cacheField>
    <cacheField name="Sales category" numFmtId="0">
      <sharedItems/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24-07-13T00:00:00"/>
    <x v="0"/>
    <x v="0"/>
    <x v="0"/>
    <n v="9"/>
    <n v="150"/>
    <n v="1350"/>
    <s v="Low"/>
    <s v="Cash"/>
  </r>
  <r>
    <d v="2024-03-14T00:00:00"/>
    <x v="1"/>
    <x v="0"/>
    <x v="1"/>
    <n v="7"/>
    <n v="300"/>
    <n v="2100"/>
    <s v="Low"/>
    <s v="Mobile Money"/>
  </r>
  <r>
    <d v="2024-05-20T00:00:00"/>
    <x v="2"/>
    <x v="1"/>
    <x v="0"/>
    <n v="8"/>
    <n v="150"/>
    <n v="1200"/>
    <s v="Low"/>
    <s v="Bank"/>
  </r>
  <r>
    <d v="2024-03-10T00:00:00"/>
    <x v="3"/>
    <x v="2"/>
    <x v="2"/>
    <n v="9"/>
    <n v="300"/>
    <n v="2700"/>
    <s v="Low"/>
    <s v="Cash"/>
  </r>
  <r>
    <d v="2024-10-11T00:00:00"/>
    <x v="3"/>
    <x v="2"/>
    <x v="2"/>
    <n v="4"/>
    <n v="4500"/>
    <n v="18000"/>
    <s v="High"/>
    <s v="Mobile Money"/>
  </r>
  <r>
    <d v="2024-06-14T00:00:00"/>
    <x v="3"/>
    <x v="0"/>
    <x v="0"/>
    <n v="6"/>
    <n v="4500"/>
    <n v="27000"/>
    <s v="High"/>
    <s v="Mobile Money"/>
  </r>
  <r>
    <d v="2024-01-18T00:00:00"/>
    <x v="2"/>
    <x v="2"/>
    <x v="3"/>
    <n v="3"/>
    <n v="300"/>
    <n v="900"/>
    <s v="Low"/>
    <s v="Bank"/>
  </r>
  <r>
    <d v="2024-05-02T00:00:00"/>
    <x v="0"/>
    <x v="1"/>
    <x v="3"/>
    <n v="10"/>
    <n v="3200"/>
    <n v="32000"/>
    <s v="High"/>
    <s v="Bank"/>
  </r>
  <r>
    <d v="2024-03-06T00:00:00"/>
    <x v="2"/>
    <x v="2"/>
    <x v="1"/>
    <n v="2"/>
    <n v="3200"/>
    <n v="6400"/>
    <s v="Low"/>
    <s v="Mobile Money"/>
  </r>
  <r>
    <d v="2024-02-03T00:00:00"/>
    <x v="4"/>
    <x v="0"/>
    <x v="4"/>
    <n v="6"/>
    <n v="150"/>
    <n v="900"/>
    <s v="Low"/>
    <s v="Mobile Money"/>
  </r>
  <r>
    <d v="2024-06-05T00:00:00"/>
    <x v="5"/>
    <x v="0"/>
    <x v="1"/>
    <n v="2"/>
    <n v="8500"/>
    <n v="17000"/>
    <s v="High"/>
    <s v="Cash"/>
  </r>
  <r>
    <d v="2024-08-26T00:00:00"/>
    <x v="2"/>
    <x v="3"/>
    <x v="2"/>
    <n v="3"/>
    <n v="150"/>
    <n v="450"/>
    <s v="Low"/>
    <s v="Cash"/>
  </r>
  <r>
    <d v="2024-10-08T00:00:00"/>
    <x v="2"/>
    <x v="2"/>
    <x v="2"/>
    <n v="6"/>
    <n v="4500"/>
    <n v="27000"/>
    <s v="High"/>
    <s v="Mobile Money"/>
  </r>
  <r>
    <d v="2024-08-06T00:00:00"/>
    <x v="1"/>
    <x v="4"/>
    <x v="0"/>
    <n v="1"/>
    <n v="4500"/>
    <n v="4500"/>
    <s v="Low"/>
    <s v="Bank"/>
  </r>
  <r>
    <d v="2024-12-30T00:00:00"/>
    <x v="6"/>
    <x v="1"/>
    <x v="1"/>
    <n v="7"/>
    <n v="300"/>
    <n v="2100"/>
    <s v="Low"/>
    <s v="Mobile Money"/>
  </r>
  <r>
    <d v="2024-01-03T00:00:00"/>
    <x v="2"/>
    <x v="1"/>
    <x v="2"/>
    <n v="8"/>
    <n v="150"/>
    <n v="1200"/>
    <s v="Low"/>
    <s v="Bank"/>
  </r>
  <r>
    <d v="2024-01-25T00:00:00"/>
    <x v="4"/>
    <x v="2"/>
    <x v="0"/>
    <n v="7"/>
    <n v="4500"/>
    <n v="31500"/>
    <s v="High"/>
    <s v="Bank"/>
  </r>
  <r>
    <d v="2024-10-27T00:00:00"/>
    <x v="0"/>
    <x v="2"/>
    <x v="2"/>
    <n v="7"/>
    <n v="300"/>
    <n v="2100"/>
    <s v="Low"/>
    <s v="Bank"/>
  </r>
  <r>
    <d v="2024-11-27T00:00:00"/>
    <x v="6"/>
    <x v="3"/>
    <x v="3"/>
    <n v="8"/>
    <n v="4500"/>
    <n v="36000"/>
    <s v="High"/>
    <s v="Cash"/>
  </r>
  <r>
    <d v="2024-08-09T00:00:00"/>
    <x v="7"/>
    <x v="4"/>
    <x v="2"/>
    <n v="4"/>
    <n v="3200"/>
    <n v="12800"/>
    <s v="High"/>
    <s v="Bank"/>
  </r>
  <r>
    <d v="2024-08-15T00:00:00"/>
    <x v="4"/>
    <x v="0"/>
    <x v="3"/>
    <n v="10"/>
    <n v="4500"/>
    <n v="45000"/>
    <s v="High"/>
    <s v="Bank"/>
  </r>
  <r>
    <d v="2024-06-03T00:00:00"/>
    <x v="4"/>
    <x v="4"/>
    <x v="0"/>
    <n v="2"/>
    <n v="3200"/>
    <n v="6400"/>
    <s v="Low"/>
    <s v="Cash"/>
  </r>
  <r>
    <d v="2024-10-23T00:00:00"/>
    <x v="7"/>
    <x v="3"/>
    <x v="1"/>
    <n v="4"/>
    <n v="300"/>
    <n v="1200"/>
    <s v="Low"/>
    <s v="Mobile Money"/>
  </r>
  <r>
    <d v="2024-03-13T00:00:00"/>
    <x v="3"/>
    <x v="4"/>
    <x v="3"/>
    <n v="4"/>
    <n v="150"/>
    <n v="600"/>
    <s v="Low"/>
    <s v="Bank"/>
  </r>
  <r>
    <d v="2024-02-02T00:00:00"/>
    <x v="0"/>
    <x v="2"/>
    <x v="1"/>
    <n v="9"/>
    <n v="3200"/>
    <n v="28800"/>
    <s v="High"/>
    <s v="Cash"/>
  </r>
  <r>
    <d v="2024-07-15T00:00:00"/>
    <x v="6"/>
    <x v="3"/>
    <x v="1"/>
    <n v="2"/>
    <n v="150"/>
    <n v="300"/>
    <s v="Low"/>
    <s v="Bank"/>
  </r>
  <r>
    <d v="2024-11-27T00:00:00"/>
    <x v="1"/>
    <x v="0"/>
    <x v="4"/>
    <n v="3"/>
    <n v="150"/>
    <n v="450"/>
    <s v="Low"/>
    <s v="Cash"/>
  </r>
  <r>
    <d v="2024-12-08T00:00:00"/>
    <x v="1"/>
    <x v="0"/>
    <x v="4"/>
    <n v="3"/>
    <n v="8500"/>
    <n v="25500"/>
    <s v="High"/>
    <s v="Mobile Money"/>
  </r>
  <r>
    <d v="2024-04-15T00:00:00"/>
    <x v="7"/>
    <x v="2"/>
    <x v="1"/>
    <n v="5"/>
    <n v="8500"/>
    <n v="42500"/>
    <s v="High"/>
    <s v="Bank"/>
  </r>
  <r>
    <d v="2024-07-01T00:00:00"/>
    <x v="1"/>
    <x v="3"/>
    <x v="2"/>
    <n v="6"/>
    <n v="150"/>
    <n v="900"/>
    <s v="Low"/>
    <s v="Mobile Money"/>
  </r>
  <r>
    <d v="2024-08-28T00:00:00"/>
    <x v="0"/>
    <x v="0"/>
    <x v="3"/>
    <n v="1"/>
    <n v="4500"/>
    <n v="4500"/>
    <s v="Low"/>
    <s v="Bank"/>
  </r>
  <r>
    <d v="2024-09-30T00:00:00"/>
    <x v="4"/>
    <x v="1"/>
    <x v="0"/>
    <n v="5"/>
    <n v="3200"/>
    <n v="16000"/>
    <s v="High"/>
    <s v="Cash"/>
  </r>
  <r>
    <d v="2024-10-03T00:00:00"/>
    <x v="7"/>
    <x v="0"/>
    <x v="2"/>
    <n v="7"/>
    <n v="300"/>
    <n v="2100"/>
    <s v="Low"/>
    <s v="Bank"/>
  </r>
  <r>
    <d v="2024-01-10T00:00:00"/>
    <x v="1"/>
    <x v="3"/>
    <x v="2"/>
    <n v="4"/>
    <n v="4500"/>
    <n v="18000"/>
    <s v="High"/>
    <s v="Bank"/>
  </r>
  <r>
    <d v="2024-02-09T00:00:00"/>
    <x v="6"/>
    <x v="0"/>
    <x v="3"/>
    <n v="9"/>
    <n v="4500"/>
    <n v="40500"/>
    <s v="High"/>
    <s v="Mobile Money"/>
  </r>
  <r>
    <d v="2024-03-26T00:00:00"/>
    <x v="5"/>
    <x v="2"/>
    <x v="3"/>
    <n v="9"/>
    <n v="3200"/>
    <n v="28800"/>
    <s v="High"/>
    <s v="Bank"/>
  </r>
  <r>
    <d v="2024-11-22T00:00:00"/>
    <x v="2"/>
    <x v="1"/>
    <x v="0"/>
    <n v="6"/>
    <n v="3200"/>
    <n v="19200"/>
    <s v="High"/>
    <s v="Mobile Money"/>
  </r>
  <r>
    <d v="2024-07-08T00:00:00"/>
    <x v="3"/>
    <x v="4"/>
    <x v="1"/>
    <n v="8"/>
    <n v="300"/>
    <n v="2400"/>
    <s v="Low"/>
    <s v="Bank"/>
  </r>
  <r>
    <d v="2024-01-15T00:00:00"/>
    <x v="6"/>
    <x v="2"/>
    <x v="3"/>
    <n v="4"/>
    <n v="150"/>
    <n v="600"/>
    <s v="Low"/>
    <s v="Mobile Money"/>
  </r>
  <r>
    <d v="2024-10-05T00:00:00"/>
    <x v="2"/>
    <x v="2"/>
    <x v="4"/>
    <n v="6"/>
    <n v="3200"/>
    <n v="19200"/>
    <s v="High"/>
    <s v="Bank"/>
  </r>
  <r>
    <d v="2024-12-07T00:00:00"/>
    <x v="7"/>
    <x v="3"/>
    <x v="2"/>
    <n v="8"/>
    <n v="8500"/>
    <n v="68000"/>
    <s v="High"/>
    <s v="Bank"/>
  </r>
  <r>
    <d v="2024-01-05T00:00:00"/>
    <x v="2"/>
    <x v="1"/>
    <x v="1"/>
    <n v="7"/>
    <n v="4500"/>
    <n v="31500"/>
    <s v="High"/>
    <s v="Bank"/>
  </r>
  <r>
    <d v="2024-06-19T00:00:00"/>
    <x v="2"/>
    <x v="2"/>
    <x v="1"/>
    <n v="10"/>
    <n v="150"/>
    <n v="1500"/>
    <s v="Low"/>
    <s v="Bank"/>
  </r>
  <r>
    <d v="2024-11-20T00:00:00"/>
    <x v="6"/>
    <x v="1"/>
    <x v="0"/>
    <n v="8"/>
    <n v="150"/>
    <n v="1200"/>
    <s v="Low"/>
    <s v="Bank"/>
  </r>
  <r>
    <d v="2024-05-12T00:00:00"/>
    <x v="6"/>
    <x v="0"/>
    <x v="4"/>
    <n v="4"/>
    <n v="300"/>
    <n v="1200"/>
    <s v="Low"/>
    <s v="Bank"/>
  </r>
  <r>
    <d v="2024-01-22T00:00:00"/>
    <x v="7"/>
    <x v="1"/>
    <x v="2"/>
    <n v="8"/>
    <n v="8500"/>
    <n v="68000"/>
    <s v="High"/>
    <s v="Cash"/>
  </r>
  <r>
    <d v="2024-03-04T00:00:00"/>
    <x v="4"/>
    <x v="1"/>
    <x v="0"/>
    <n v="9"/>
    <n v="4500"/>
    <n v="40500"/>
    <s v="High"/>
    <s v="Cash"/>
  </r>
  <r>
    <d v="2024-03-06T00:00:00"/>
    <x v="1"/>
    <x v="4"/>
    <x v="0"/>
    <n v="9"/>
    <n v="300"/>
    <n v="2700"/>
    <s v="Low"/>
    <s v="Cash"/>
  </r>
  <r>
    <d v="2024-09-23T00:00:00"/>
    <x v="0"/>
    <x v="4"/>
    <x v="0"/>
    <n v="4"/>
    <n v="300"/>
    <n v="1200"/>
    <s v="Low"/>
    <s v="Mobile Money"/>
  </r>
  <r>
    <d v="2024-03-24T00:00:00"/>
    <x v="2"/>
    <x v="1"/>
    <x v="3"/>
    <n v="10"/>
    <n v="300"/>
    <n v="3000"/>
    <s v="Low"/>
    <s v="Mobile Money"/>
  </r>
  <r>
    <d v="2024-07-12T00:00:00"/>
    <x v="7"/>
    <x v="0"/>
    <x v="1"/>
    <n v="3"/>
    <n v="3200"/>
    <n v="9600"/>
    <s v="Low"/>
    <s v="Mobile Money"/>
  </r>
  <r>
    <d v="2024-08-10T00:00:00"/>
    <x v="5"/>
    <x v="0"/>
    <x v="1"/>
    <n v="10"/>
    <n v="150"/>
    <n v="1500"/>
    <s v="Low"/>
    <s v="Mobile Money"/>
  </r>
  <r>
    <d v="2024-02-22T00:00:00"/>
    <x v="4"/>
    <x v="2"/>
    <x v="1"/>
    <n v="7"/>
    <n v="150"/>
    <n v="1050"/>
    <s v="Low"/>
    <s v="Bank"/>
  </r>
  <r>
    <d v="2024-04-03T00:00:00"/>
    <x v="7"/>
    <x v="2"/>
    <x v="0"/>
    <n v="3"/>
    <n v="150"/>
    <n v="450"/>
    <s v="Low"/>
    <s v="Cash"/>
  </r>
  <r>
    <d v="2024-06-02T00:00:00"/>
    <x v="1"/>
    <x v="1"/>
    <x v="2"/>
    <n v="2"/>
    <n v="300"/>
    <n v="600"/>
    <s v="Low"/>
    <s v="Mobile Money"/>
  </r>
  <r>
    <d v="2024-04-06T00:00:00"/>
    <x v="4"/>
    <x v="2"/>
    <x v="1"/>
    <n v="3"/>
    <n v="4500"/>
    <n v="13500"/>
    <s v="High"/>
    <s v="Bank"/>
  </r>
  <r>
    <d v="2024-05-21T00:00:00"/>
    <x v="2"/>
    <x v="3"/>
    <x v="4"/>
    <n v="2"/>
    <n v="150"/>
    <n v="300"/>
    <s v="Low"/>
    <s v="Bank"/>
  </r>
  <r>
    <d v="2024-07-09T00:00:00"/>
    <x v="0"/>
    <x v="1"/>
    <x v="2"/>
    <n v="2"/>
    <n v="8500"/>
    <n v="17000"/>
    <s v="High"/>
    <s v="Bank"/>
  </r>
  <r>
    <d v="2024-01-12T00:00:00"/>
    <x v="3"/>
    <x v="2"/>
    <x v="0"/>
    <n v="10"/>
    <n v="4500"/>
    <n v="45000"/>
    <s v="High"/>
    <s v="Bank"/>
  </r>
  <r>
    <d v="2024-10-21T00:00:00"/>
    <x v="3"/>
    <x v="4"/>
    <x v="2"/>
    <n v="7"/>
    <n v="300"/>
    <n v="2100"/>
    <s v="Low"/>
    <s v="Bank"/>
  </r>
  <r>
    <d v="2024-07-24T00:00:00"/>
    <x v="1"/>
    <x v="3"/>
    <x v="3"/>
    <n v="3"/>
    <n v="4500"/>
    <n v="13500"/>
    <s v="High"/>
    <s v="Mobile Money"/>
  </r>
  <r>
    <d v="2024-07-25T00:00:00"/>
    <x v="5"/>
    <x v="2"/>
    <x v="1"/>
    <n v="3"/>
    <n v="3200"/>
    <n v="9600"/>
    <s v="Low"/>
    <s v="Mobile Money"/>
  </r>
  <r>
    <d v="2024-09-05T00:00:00"/>
    <x v="3"/>
    <x v="2"/>
    <x v="3"/>
    <n v="1"/>
    <n v="150"/>
    <n v="150"/>
    <s v="Low"/>
    <s v="Mobile Money"/>
  </r>
  <r>
    <d v="2024-04-26T00:00:00"/>
    <x v="2"/>
    <x v="0"/>
    <x v="1"/>
    <n v="2"/>
    <n v="3200"/>
    <n v="6400"/>
    <s v="Low"/>
    <s v="Cash"/>
  </r>
  <r>
    <d v="2024-07-29T00:00:00"/>
    <x v="0"/>
    <x v="0"/>
    <x v="2"/>
    <n v="2"/>
    <n v="150"/>
    <n v="300"/>
    <s v="Low"/>
    <s v="Cash"/>
  </r>
  <r>
    <d v="2024-06-16T00:00:00"/>
    <x v="2"/>
    <x v="2"/>
    <x v="1"/>
    <n v="7"/>
    <n v="4500"/>
    <n v="31500"/>
    <s v="High"/>
    <s v="Mobile Money"/>
  </r>
  <r>
    <d v="2024-11-30T00:00:00"/>
    <x v="3"/>
    <x v="0"/>
    <x v="0"/>
    <n v="9"/>
    <n v="150"/>
    <n v="1350"/>
    <s v="Low"/>
    <s v="Cash"/>
  </r>
  <r>
    <d v="2024-12-14T00:00:00"/>
    <x v="7"/>
    <x v="1"/>
    <x v="4"/>
    <n v="7"/>
    <n v="300"/>
    <n v="2100"/>
    <s v="Low"/>
    <s v="Cash"/>
  </r>
  <r>
    <d v="2024-11-25T00:00:00"/>
    <x v="6"/>
    <x v="4"/>
    <x v="0"/>
    <n v="5"/>
    <n v="8500"/>
    <n v="42500"/>
    <s v="High"/>
    <s v="Bank"/>
  </r>
  <r>
    <d v="2024-10-06T00:00:00"/>
    <x v="0"/>
    <x v="3"/>
    <x v="0"/>
    <n v="3"/>
    <n v="300"/>
    <n v="900"/>
    <s v="Low"/>
    <s v="Mobile Money"/>
  </r>
  <r>
    <d v="2024-06-20T00:00:00"/>
    <x v="3"/>
    <x v="2"/>
    <x v="3"/>
    <n v="7"/>
    <n v="300"/>
    <n v="2100"/>
    <s v="Low"/>
    <s v="Cash"/>
  </r>
  <r>
    <d v="2024-09-28T00:00:00"/>
    <x v="7"/>
    <x v="1"/>
    <x v="1"/>
    <n v="5"/>
    <n v="3200"/>
    <n v="16000"/>
    <s v="High"/>
    <s v="Bank"/>
  </r>
  <r>
    <d v="2024-04-25T00:00:00"/>
    <x v="3"/>
    <x v="4"/>
    <x v="3"/>
    <n v="1"/>
    <n v="150"/>
    <n v="150"/>
    <s v="Low"/>
    <s v="Bank"/>
  </r>
  <r>
    <d v="2024-05-11T00:00:00"/>
    <x v="4"/>
    <x v="4"/>
    <x v="3"/>
    <n v="6"/>
    <n v="3200"/>
    <n v="19200"/>
    <s v="High"/>
    <s v="Cash"/>
  </r>
  <r>
    <d v="2024-02-12T00:00:00"/>
    <x v="4"/>
    <x v="1"/>
    <x v="1"/>
    <n v="6"/>
    <n v="3200"/>
    <n v="19200"/>
    <s v="High"/>
    <s v="Bank"/>
  </r>
  <r>
    <d v="2024-11-30T00:00:00"/>
    <x v="5"/>
    <x v="3"/>
    <x v="2"/>
    <n v="3"/>
    <n v="150"/>
    <n v="450"/>
    <s v="Low"/>
    <s v="Bank"/>
  </r>
  <r>
    <d v="2024-10-17T00:00:00"/>
    <x v="4"/>
    <x v="4"/>
    <x v="0"/>
    <n v="9"/>
    <n v="4500"/>
    <n v="40500"/>
    <s v="High"/>
    <s v="Bank"/>
  </r>
  <r>
    <d v="2024-12-30T00:00:00"/>
    <x v="3"/>
    <x v="1"/>
    <x v="2"/>
    <n v="9"/>
    <n v="300"/>
    <n v="2700"/>
    <s v="Low"/>
    <s v="Mobile Money"/>
  </r>
  <r>
    <d v="2024-10-03T00:00:00"/>
    <x v="3"/>
    <x v="2"/>
    <x v="4"/>
    <n v="5"/>
    <n v="4500"/>
    <n v="22500"/>
    <s v="High"/>
    <s v="Cash"/>
  </r>
  <r>
    <d v="2024-10-05T00:00:00"/>
    <x v="6"/>
    <x v="3"/>
    <x v="2"/>
    <n v="1"/>
    <n v="8500"/>
    <n v="8500"/>
    <s v="Low"/>
    <s v="Mobile Money"/>
  </r>
  <r>
    <d v="2024-07-28T00:00:00"/>
    <x v="6"/>
    <x v="3"/>
    <x v="3"/>
    <n v="8"/>
    <n v="4500"/>
    <n v="36000"/>
    <s v="High"/>
    <s v="Bank"/>
  </r>
  <r>
    <d v="2024-09-13T00:00:00"/>
    <x v="2"/>
    <x v="4"/>
    <x v="1"/>
    <n v="9"/>
    <n v="3200"/>
    <n v="28800"/>
    <s v="High"/>
    <s v="Mobile Money"/>
  </r>
  <r>
    <d v="2024-06-09T00:00:00"/>
    <x v="3"/>
    <x v="3"/>
    <x v="0"/>
    <n v="4"/>
    <n v="150"/>
    <n v="600"/>
    <s v="Low"/>
    <s v="Mobile Money"/>
  </r>
  <r>
    <d v="2024-12-09T00:00:00"/>
    <x v="1"/>
    <x v="4"/>
    <x v="2"/>
    <n v="8"/>
    <n v="300"/>
    <n v="2400"/>
    <s v="Low"/>
    <s v="Mobile Money"/>
  </r>
  <r>
    <d v="2024-09-17T00:00:00"/>
    <x v="1"/>
    <x v="2"/>
    <x v="2"/>
    <n v="10"/>
    <n v="4500"/>
    <n v="45000"/>
    <s v="High"/>
    <s v="Mobile Money"/>
  </r>
  <r>
    <d v="2024-05-02T00:00:00"/>
    <x v="1"/>
    <x v="3"/>
    <x v="4"/>
    <n v="6"/>
    <n v="4500"/>
    <n v="27000"/>
    <s v="High"/>
    <s v="Cash"/>
  </r>
  <r>
    <d v="2024-03-02T00:00:00"/>
    <x v="7"/>
    <x v="4"/>
    <x v="1"/>
    <n v="9"/>
    <n v="8500"/>
    <n v="76500"/>
    <s v="High"/>
    <s v="Cash"/>
  </r>
  <r>
    <d v="2024-06-29T00:00:00"/>
    <x v="0"/>
    <x v="4"/>
    <x v="0"/>
    <n v="2"/>
    <n v="150"/>
    <n v="300"/>
    <s v="Low"/>
    <s v="Mobile Money"/>
  </r>
  <r>
    <d v="2024-09-04T00:00:00"/>
    <x v="3"/>
    <x v="4"/>
    <x v="0"/>
    <n v="10"/>
    <n v="300"/>
    <n v="3000"/>
    <s v="Low"/>
    <s v="Cash"/>
  </r>
  <r>
    <d v="2024-09-20T00:00:00"/>
    <x v="4"/>
    <x v="3"/>
    <x v="1"/>
    <n v="8"/>
    <n v="300"/>
    <n v="2400"/>
    <s v="Low"/>
    <s v="Bank"/>
  </r>
  <r>
    <d v="2024-01-19T00:00:00"/>
    <x v="6"/>
    <x v="4"/>
    <x v="0"/>
    <n v="8"/>
    <n v="150"/>
    <n v="1200"/>
    <s v="Low"/>
    <s v="Mobile Money"/>
  </r>
  <r>
    <d v="2024-06-01T00:00:00"/>
    <x v="5"/>
    <x v="4"/>
    <x v="3"/>
    <n v="4"/>
    <n v="300"/>
    <n v="1200"/>
    <s v="Low"/>
    <s v="Cash"/>
  </r>
  <r>
    <d v="2024-12-29T00:00:00"/>
    <x v="2"/>
    <x v="0"/>
    <x v="1"/>
    <n v="7"/>
    <n v="3200"/>
    <n v="22400"/>
    <s v="High"/>
    <s v="Bank"/>
  </r>
  <r>
    <d v="2024-01-21T00:00:00"/>
    <x v="3"/>
    <x v="3"/>
    <x v="3"/>
    <n v="4"/>
    <n v="150"/>
    <n v="600"/>
    <s v="Low"/>
    <s v="Bank"/>
  </r>
  <r>
    <d v="2024-06-06T00:00:00"/>
    <x v="3"/>
    <x v="1"/>
    <x v="1"/>
    <n v="8"/>
    <n v="3200"/>
    <n v="25600"/>
    <s v="High"/>
    <s v="Cash"/>
  </r>
  <r>
    <d v="2024-09-05T00:00:00"/>
    <x v="6"/>
    <x v="0"/>
    <x v="0"/>
    <n v="8"/>
    <n v="150"/>
    <n v="1200"/>
    <s v="Low"/>
    <s v="Cash"/>
  </r>
  <r>
    <d v="2024-03-25T00:00:00"/>
    <x v="6"/>
    <x v="3"/>
    <x v="0"/>
    <n v="3"/>
    <n v="300"/>
    <n v="900"/>
    <s v="Low"/>
    <s v="Mobile Money"/>
  </r>
  <r>
    <d v="2024-09-15T00:00:00"/>
    <x v="7"/>
    <x v="4"/>
    <x v="3"/>
    <n v="4"/>
    <n v="300"/>
    <n v="1200"/>
    <s v="Low"/>
    <s v="Bank"/>
  </r>
  <r>
    <d v="2024-08-03T00:00:00"/>
    <x v="1"/>
    <x v="0"/>
    <x v="3"/>
    <n v="5"/>
    <n v="3200"/>
    <n v="16000"/>
    <s v="High"/>
    <s v="Cash"/>
  </r>
  <r>
    <d v="2024-06-23T00:00:00"/>
    <x v="0"/>
    <x v="3"/>
    <x v="3"/>
    <n v="2"/>
    <n v="3200"/>
    <n v="6400"/>
    <s v="Low"/>
    <s v="Bank"/>
  </r>
  <r>
    <d v="2024-05-11T00:00:00"/>
    <x v="7"/>
    <x v="2"/>
    <x v="2"/>
    <n v="4"/>
    <n v="3200"/>
    <n v="12800"/>
    <s v="High"/>
    <s v="Cash"/>
  </r>
  <r>
    <d v="2024-04-09T00:00:00"/>
    <x v="4"/>
    <x v="1"/>
    <x v="3"/>
    <n v="7"/>
    <n v="4500"/>
    <n v="31500"/>
    <s v="High"/>
    <s v="Cash"/>
  </r>
  <r>
    <d v="2024-12-13T00:00:00"/>
    <x v="4"/>
    <x v="2"/>
    <x v="0"/>
    <n v="10"/>
    <n v="3200"/>
    <n v="32000"/>
    <s v="High"/>
    <s v="Bank"/>
  </r>
  <r>
    <d v="2024-12-08T00:00:00"/>
    <x v="5"/>
    <x v="0"/>
    <x v="1"/>
    <n v="9"/>
    <n v="300"/>
    <n v="2700"/>
    <s v="Low"/>
    <s v="Mobile Money"/>
  </r>
  <r>
    <d v="2024-08-14T00:00:00"/>
    <x v="3"/>
    <x v="4"/>
    <x v="2"/>
    <n v="2"/>
    <n v="150"/>
    <n v="300"/>
    <s v="Low"/>
    <s v="Cash"/>
  </r>
  <r>
    <d v="2024-01-15T00:00:00"/>
    <x v="3"/>
    <x v="1"/>
    <x v="0"/>
    <n v="5"/>
    <n v="4500"/>
    <n v="22500"/>
    <s v="High"/>
    <s v="Mobile Money"/>
  </r>
  <r>
    <d v="2024-10-23T00:00:00"/>
    <x v="7"/>
    <x v="4"/>
    <x v="1"/>
    <n v="4"/>
    <n v="300"/>
    <n v="1200"/>
    <s v="Low"/>
    <s v="Bank"/>
  </r>
  <r>
    <d v="2024-03-19T00:00:00"/>
    <x v="2"/>
    <x v="0"/>
    <x v="0"/>
    <n v="8"/>
    <n v="150"/>
    <n v="1200"/>
    <s v="Low"/>
    <s v="Bank"/>
  </r>
  <r>
    <d v="2024-12-02T00:00:00"/>
    <x v="1"/>
    <x v="1"/>
    <x v="3"/>
    <n v="5"/>
    <n v="300"/>
    <n v="1500"/>
    <s v="Low"/>
    <s v="Mobile Money"/>
  </r>
  <r>
    <d v="2024-05-20T00:00:00"/>
    <x v="2"/>
    <x v="4"/>
    <x v="1"/>
    <n v="8"/>
    <n v="3200"/>
    <n v="25600"/>
    <s v="High"/>
    <s v="Mobile Money"/>
  </r>
  <r>
    <d v="2024-11-05T00:00:00"/>
    <x v="2"/>
    <x v="2"/>
    <x v="1"/>
    <n v="8"/>
    <n v="150"/>
    <n v="1200"/>
    <s v="Low"/>
    <s v="Bank"/>
  </r>
  <r>
    <d v="2024-04-01T00:00:00"/>
    <x v="0"/>
    <x v="2"/>
    <x v="1"/>
    <n v="3"/>
    <n v="150"/>
    <n v="450"/>
    <s v="Low"/>
    <s v="Cash"/>
  </r>
  <r>
    <d v="2024-02-19T00:00:00"/>
    <x v="1"/>
    <x v="2"/>
    <x v="4"/>
    <n v="2"/>
    <n v="150"/>
    <n v="300"/>
    <s v="Low"/>
    <s v="Cash"/>
  </r>
  <r>
    <d v="2024-10-28T00:00:00"/>
    <x v="0"/>
    <x v="4"/>
    <x v="0"/>
    <n v="7"/>
    <n v="8500"/>
    <n v="59500"/>
    <s v="High"/>
    <s v="Bank"/>
  </r>
  <r>
    <d v="2024-01-15T00:00:00"/>
    <x v="2"/>
    <x v="4"/>
    <x v="4"/>
    <n v="9"/>
    <n v="300"/>
    <n v="2700"/>
    <s v="Low"/>
    <s v="Cash"/>
  </r>
  <r>
    <d v="2024-09-16T00:00:00"/>
    <x v="7"/>
    <x v="3"/>
    <x v="1"/>
    <n v="6"/>
    <n v="8500"/>
    <n v="51000"/>
    <s v="High"/>
    <s v="Cash"/>
  </r>
  <r>
    <d v="2024-09-29T00:00:00"/>
    <x v="7"/>
    <x v="0"/>
    <x v="2"/>
    <n v="2"/>
    <n v="150"/>
    <n v="300"/>
    <s v="Low"/>
    <s v="Cash"/>
  </r>
  <r>
    <d v="2024-08-10T00:00:00"/>
    <x v="1"/>
    <x v="2"/>
    <x v="1"/>
    <n v="8"/>
    <n v="4500"/>
    <n v="36000"/>
    <s v="High"/>
    <s v="Mobile Money"/>
  </r>
  <r>
    <d v="2024-02-05T00:00:00"/>
    <x v="4"/>
    <x v="4"/>
    <x v="3"/>
    <n v="8"/>
    <n v="150"/>
    <n v="1200"/>
    <s v="Low"/>
    <s v="Bank"/>
  </r>
  <r>
    <d v="2024-03-29T00:00:00"/>
    <x v="5"/>
    <x v="1"/>
    <x v="4"/>
    <n v="3"/>
    <n v="3200"/>
    <n v="9600"/>
    <s v="Low"/>
    <s v="Mobile Money"/>
  </r>
  <r>
    <d v="2024-02-15T00:00:00"/>
    <x v="7"/>
    <x v="2"/>
    <x v="1"/>
    <n v="1"/>
    <n v="8500"/>
    <n v="8500"/>
    <s v="Low"/>
    <s v="Bank"/>
  </r>
  <r>
    <d v="2024-08-20T00:00:00"/>
    <x v="0"/>
    <x v="4"/>
    <x v="0"/>
    <n v="2"/>
    <n v="150"/>
    <n v="300"/>
    <s v="Low"/>
    <s v="Cash"/>
  </r>
  <r>
    <d v="2024-10-10T00:00:00"/>
    <x v="2"/>
    <x v="2"/>
    <x v="2"/>
    <n v="7"/>
    <n v="300"/>
    <n v="2100"/>
    <s v="Low"/>
    <s v="Bank"/>
  </r>
  <r>
    <d v="2024-08-15T00:00:00"/>
    <x v="5"/>
    <x v="4"/>
    <x v="4"/>
    <n v="5"/>
    <n v="4500"/>
    <n v="22500"/>
    <s v="High"/>
    <s v="Bank"/>
  </r>
  <r>
    <d v="2024-12-21T00:00:00"/>
    <x v="3"/>
    <x v="1"/>
    <x v="2"/>
    <n v="4"/>
    <n v="8500"/>
    <n v="34000"/>
    <s v="High"/>
    <s v="Bank"/>
  </r>
  <r>
    <d v="2024-11-09T00:00:00"/>
    <x v="1"/>
    <x v="2"/>
    <x v="4"/>
    <n v="6"/>
    <n v="4500"/>
    <n v="27000"/>
    <s v="High"/>
    <s v="Cash"/>
  </r>
  <r>
    <d v="2024-07-26T00:00:00"/>
    <x v="3"/>
    <x v="4"/>
    <x v="4"/>
    <n v="8"/>
    <n v="8500"/>
    <n v="68000"/>
    <s v="High"/>
    <s v="Bank"/>
  </r>
  <r>
    <d v="2024-06-21T00:00:00"/>
    <x v="0"/>
    <x v="1"/>
    <x v="0"/>
    <n v="5"/>
    <n v="8500"/>
    <n v="42500"/>
    <s v="High"/>
    <s v="Mobile Money"/>
  </r>
  <r>
    <d v="2024-01-02T00:00:00"/>
    <x v="6"/>
    <x v="1"/>
    <x v="0"/>
    <n v="3"/>
    <n v="300"/>
    <n v="900"/>
    <s v="Low"/>
    <s v="Mobile Money"/>
  </r>
  <r>
    <d v="2024-10-01T00:00:00"/>
    <x v="3"/>
    <x v="2"/>
    <x v="1"/>
    <n v="2"/>
    <n v="300"/>
    <n v="600"/>
    <s v="Low"/>
    <s v="Cash"/>
  </r>
  <r>
    <d v="2024-05-07T00:00:00"/>
    <x v="2"/>
    <x v="2"/>
    <x v="4"/>
    <n v="10"/>
    <n v="150"/>
    <n v="1500"/>
    <s v="Low"/>
    <s v="Bank"/>
  </r>
  <r>
    <d v="2024-05-23T00:00:00"/>
    <x v="4"/>
    <x v="4"/>
    <x v="3"/>
    <n v="10"/>
    <n v="8500"/>
    <n v="85000"/>
    <s v="High"/>
    <s v="Bank"/>
  </r>
  <r>
    <d v="2024-02-27T00:00:00"/>
    <x v="5"/>
    <x v="3"/>
    <x v="2"/>
    <n v="1"/>
    <n v="3200"/>
    <n v="3200"/>
    <s v="Low"/>
    <s v="Cash"/>
  </r>
  <r>
    <d v="2024-02-29T00:00:00"/>
    <x v="7"/>
    <x v="2"/>
    <x v="0"/>
    <n v="7"/>
    <n v="4500"/>
    <n v="31500"/>
    <s v="High"/>
    <s v="Mobile Money"/>
  </r>
  <r>
    <d v="2024-01-14T00:00:00"/>
    <x v="1"/>
    <x v="1"/>
    <x v="2"/>
    <n v="4"/>
    <n v="300"/>
    <n v="1200"/>
    <s v="Low"/>
    <s v="Mobile Money"/>
  </r>
  <r>
    <d v="2024-03-31T00:00:00"/>
    <x v="4"/>
    <x v="0"/>
    <x v="1"/>
    <n v="3"/>
    <n v="4500"/>
    <n v="13500"/>
    <s v="High"/>
    <s v="Mobile Money"/>
  </r>
  <r>
    <d v="2024-05-01T00:00:00"/>
    <x v="5"/>
    <x v="4"/>
    <x v="1"/>
    <n v="1"/>
    <n v="150"/>
    <n v="150"/>
    <s v="Low"/>
    <s v="Mobile Money"/>
  </r>
  <r>
    <d v="2024-01-02T00:00:00"/>
    <x v="3"/>
    <x v="3"/>
    <x v="4"/>
    <n v="4"/>
    <n v="150"/>
    <n v="600"/>
    <s v="Low"/>
    <s v="Cash"/>
  </r>
  <r>
    <d v="2024-01-26T00:00:00"/>
    <x v="6"/>
    <x v="1"/>
    <x v="3"/>
    <n v="7"/>
    <n v="8500"/>
    <n v="59500"/>
    <s v="High"/>
    <s v="Bank"/>
  </r>
  <r>
    <d v="2024-06-10T00:00:00"/>
    <x v="4"/>
    <x v="3"/>
    <x v="4"/>
    <n v="2"/>
    <n v="3200"/>
    <n v="6400"/>
    <s v="Low"/>
    <s v="Bank"/>
  </r>
  <r>
    <d v="2024-08-28T00:00:00"/>
    <x v="0"/>
    <x v="1"/>
    <x v="4"/>
    <n v="2"/>
    <n v="8500"/>
    <n v="17000"/>
    <s v="High"/>
    <s v="Bank"/>
  </r>
  <r>
    <d v="2024-02-27T00:00:00"/>
    <x v="2"/>
    <x v="2"/>
    <x v="4"/>
    <n v="8"/>
    <n v="8500"/>
    <n v="68000"/>
    <s v="High"/>
    <s v="Mobile Money"/>
  </r>
  <r>
    <d v="2024-09-10T00:00:00"/>
    <x v="3"/>
    <x v="3"/>
    <x v="1"/>
    <n v="9"/>
    <n v="8500"/>
    <n v="76500"/>
    <s v="High"/>
    <s v="Mobile Money"/>
  </r>
  <r>
    <d v="2024-01-23T00:00:00"/>
    <x v="4"/>
    <x v="2"/>
    <x v="0"/>
    <n v="7"/>
    <n v="150"/>
    <n v="1050"/>
    <s v="Low"/>
    <s v="Cash"/>
  </r>
  <r>
    <d v="2024-04-01T00:00:00"/>
    <x v="5"/>
    <x v="4"/>
    <x v="3"/>
    <n v="3"/>
    <n v="300"/>
    <n v="900"/>
    <s v="Low"/>
    <s v="Bank"/>
  </r>
  <r>
    <d v="2024-11-06T00:00:00"/>
    <x v="6"/>
    <x v="2"/>
    <x v="4"/>
    <n v="5"/>
    <n v="3200"/>
    <n v="16000"/>
    <s v="High"/>
    <s v="Cash"/>
  </r>
  <r>
    <d v="2024-12-27T00:00:00"/>
    <x v="4"/>
    <x v="4"/>
    <x v="2"/>
    <n v="7"/>
    <n v="8500"/>
    <n v="59500"/>
    <s v="High"/>
    <s v="Bank"/>
  </r>
  <r>
    <d v="2024-12-31T00:00:00"/>
    <x v="2"/>
    <x v="3"/>
    <x v="1"/>
    <n v="2"/>
    <n v="4500"/>
    <n v="9000"/>
    <s v="Low"/>
    <s v="Cash"/>
  </r>
  <r>
    <d v="2024-09-12T00:00:00"/>
    <x v="1"/>
    <x v="2"/>
    <x v="3"/>
    <n v="3"/>
    <n v="150"/>
    <n v="450"/>
    <s v="Low"/>
    <s v="Bank"/>
  </r>
  <r>
    <d v="2024-03-31T00:00:00"/>
    <x v="7"/>
    <x v="0"/>
    <x v="3"/>
    <n v="4"/>
    <n v="3200"/>
    <n v="12800"/>
    <s v="High"/>
    <s v="Cash"/>
  </r>
  <r>
    <d v="2024-07-27T00:00:00"/>
    <x v="2"/>
    <x v="2"/>
    <x v="3"/>
    <n v="7"/>
    <n v="3200"/>
    <n v="22400"/>
    <s v="High"/>
    <s v="Bank"/>
  </r>
  <r>
    <d v="2024-07-22T00:00:00"/>
    <x v="1"/>
    <x v="3"/>
    <x v="1"/>
    <n v="4"/>
    <n v="3200"/>
    <n v="12800"/>
    <s v="High"/>
    <s v="Cash"/>
  </r>
  <r>
    <d v="2024-12-25T00:00:00"/>
    <x v="5"/>
    <x v="3"/>
    <x v="4"/>
    <n v="3"/>
    <n v="150"/>
    <n v="450"/>
    <s v="Low"/>
    <s v="Bank"/>
  </r>
  <r>
    <d v="2024-12-26T00:00:00"/>
    <x v="4"/>
    <x v="4"/>
    <x v="0"/>
    <n v="8"/>
    <n v="8500"/>
    <n v="68000"/>
    <s v="High"/>
    <s v="Bank"/>
  </r>
  <r>
    <d v="2024-11-15T00:00:00"/>
    <x v="3"/>
    <x v="4"/>
    <x v="0"/>
    <n v="4"/>
    <n v="300"/>
    <n v="1200"/>
    <s v="Low"/>
    <s v="Bank"/>
  </r>
  <r>
    <d v="2024-04-11T00:00:00"/>
    <x v="4"/>
    <x v="3"/>
    <x v="4"/>
    <n v="7"/>
    <n v="300"/>
    <n v="2100"/>
    <s v="Low"/>
    <s v="Bank"/>
  </r>
  <r>
    <d v="2024-02-09T00:00:00"/>
    <x v="1"/>
    <x v="0"/>
    <x v="0"/>
    <n v="1"/>
    <n v="8500"/>
    <n v="8500"/>
    <s v="Low"/>
    <s v="Mobile Money"/>
  </r>
  <r>
    <d v="2024-12-21T00:00:00"/>
    <x v="7"/>
    <x v="1"/>
    <x v="1"/>
    <n v="6"/>
    <n v="300"/>
    <n v="1800"/>
    <s v="Low"/>
    <s v="Cash"/>
  </r>
  <r>
    <d v="2024-06-26T00:00:00"/>
    <x v="6"/>
    <x v="1"/>
    <x v="4"/>
    <n v="7"/>
    <n v="150"/>
    <n v="1050"/>
    <s v="Low"/>
    <s v="Cash"/>
  </r>
  <r>
    <d v="2024-07-27T00:00:00"/>
    <x v="1"/>
    <x v="3"/>
    <x v="2"/>
    <n v="9"/>
    <n v="8500"/>
    <n v="76500"/>
    <s v="High"/>
    <s v="Cash"/>
  </r>
  <r>
    <d v="2024-06-02T00:00:00"/>
    <x v="6"/>
    <x v="1"/>
    <x v="1"/>
    <n v="6"/>
    <n v="4500"/>
    <n v="27000"/>
    <s v="High"/>
    <s v="Bank"/>
  </r>
  <r>
    <d v="2024-07-26T00:00:00"/>
    <x v="6"/>
    <x v="1"/>
    <x v="0"/>
    <n v="3"/>
    <n v="150"/>
    <n v="450"/>
    <s v="Low"/>
    <s v="Cash"/>
  </r>
  <r>
    <d v="2024-11-06T00:00:00"/>
    <x v="2"/>
    <x v="3"/>
    <x v="0"/>
    <n v="2"/>
    <n v="300"/>
    <n v="600"/>
    <s v="Low"/>
    <s v="Bank"/>
  </r>
  <r>
    <d v="2024-06-29T00:00:00"/>
    <x v="7"/>
    <x v="2"/>
    <x v="4"/>
    <n v="1"/>
    <n v="300"/>
    <n v="300"/>
    <s v="Low"/>
    <s v="Mobile Money"/>
  </r>
  <r>
    <d v="2024-10-06T00:00:00"/>
    <x v="3"/>
    <x v="1"/>
    <x v="0"/>
    <n v="9"/>
    <n v="8500"/>
    <n v="76500"/>
    <s v="High"/>
    <s v="Cash"/>
  </r>
  <r>
    <d v="2024-07-06T00:00:00"/>
    <x v="4"/>
    <x v="3"/>
    <x v="0"/>
    <n v="4"/>
    <n v="300"/>
    <n v="1200"/>
    <s v="Low"/>
    <s v="Mobile Money"/>
  </r>
  <r>
    <d v="2024-01-22T00:00:00"/>
    <x v="3"/>
    <x v="3"/>
    <x v="4"/>
    <n v="6"/>
    <n v="300"/>
    <n v="1800"/>
    <s v="Low"/>
    <s v="Bank"/>
  </r>
  <r>
    <d v="2024-08-29T00:00:00"/>
    <x v="1"/>
    <x v="0"/>
    <x v="2"/>
    <n v="9"/>
    <n v="8500"/>
    <n v="76500"/>
    <s v="High"/>
    <s v="Cash"/>
  </r>
  <r>
    <d v="2024-03-22T00:00:00"/>
    <x v="3"/>
    <x v="2"/>
    <x v="3"/>
    <n v="3"/>
    <n v="4500"/>
    <n v="13500"/>
    <s v="High"/>
    <s v="Mobile Money"/>
  </r>
  <r>
    <d v="2024-09-11T00:00:00"/>
    <x v="2"/>
    <x v="2"/>
    <x v="4"/>
    <n v="5"/>
    <n v="3200"/>
    <n v="16000"/>
    <s v="High"/>
    <s v="Cash"/>
  </r>
  <r>
    <d v="2024-11-19T00:00:00"/>
    <x v="6"/>
    <x v="0"/>
    <x v="3"/>
    <n v="8"/>
    <n v="8500"/>
    <n v="68000"/>
    <s v="High"/>
    <s v="Cash"/>
  </r>
  <r>
    <d v="2024-02-14T00:00:00"/>
    <x v="7"/>
    <x v="0"/>
    <x v="4"/>
    <n v="6"/>
    <n v="3200"/>
    <n v="19200"/>
    <s v="High"/>
    <s v="Mobile Money"/>
  </r>
  <r>
    <d v="2024-05-05T00:00:00"/>
    <x v="4"/>
    <x v="4"/>
    <x v="0"/>
    <n v="7"/>
    <n v="8500"/>
    <n v="59500"/>
    <s v="High"/>
    <s v="Bank"/>
  </r>
  <r>
    <d v="2024-12-01T00:00:00"/>
    <x v="0"/>
    <x v="3"/>
    <x v="3"/>
    <n v="3"/>
    <n v="300"/>
    <n v="900"/>
    <s v="Low"/>
    <s v="Bank"/>
  </r>
  <r>
    <d v="2024-10-04T00:00:00"/>
    <x v="6"/>
    <x v="0"/>
    <x v="4"/>
    <n v="9"/>
    <n v="3200"/>
    <n v="28800"/>
    <s v="High"/>
    <s v="Cash"/>
  </r>
  <r>
    <d v="2024-01-12T00:00:00"/>
    <x v="1"/>
    <x v="4"/>
    <x v="3"/>
    <n v="3"/>
    <n v="8500"/>
    <n v="25500"/>
    <s v="High"/>
    <s v="Mobile Money"/>
  </r>
  <r>
    <d v="2024-07-20T00:00:00"/>
    <x v="1"/>
    <x v="1"/>
    <x v="2"/>
    <n v="8"/>
    <n v="3200"/>
    <n v="25600"/>
    <s v="High"/>
    <s v="Cash"/>
  </r>
  <r>
    <d v="2024-12-31T00:00:00"/>
    <x v="6"/>
    <x v="0"/>
    <x v="3"/>
    <n v="9"/>
    <n v="4500"/>
    <n v="40500"/>
    <s v="High"/>
    <s v="Bank"/>
  </r>
  <r>
    <d v="2024-12-31T00:00:00"/>
    <x v="6"/>
    <x v="0"/>
    <x v="3"/>
    <n v="8"/>
    <n v="3200"/>
    <n v="25600"/>
    <s v="High"/>
    <s v="Cash"/>
  </r>
  <r>
    <d v="2024-05-31T00:00:00"/>
    <x v="5"/>
    <x v="1"/>
    <x v="2"/>
    <n v="5"/>
    <n v="3200"/>
    <n v="16000"/>
    <s v="High"/>
    <s v="Mobile Money"/>
  </r>
  <r>
    <d v="2024-05-13T00:00:00"/>
    <x v="0"/>
    <x v="1"/>
    <x v="3"/>
    <n v="9"/>
    <n v="4500"/>
    <n v="40500"/>
    <s v="High"/>
    <s v="Mobile Money"/>
  </r>
  <r>
    <d v="2024-10-22T00:00:00"/>
    <x v="7"/>
    <x v="1"/>
    <x v="1"/>
    <n v="2"/>
    <n v="3200"/>
    <n v="6400"/>
    <s v="Low"/>
    <s v="Bank"/>
  </r>
  <r>
    <d v="2024-11-28T00:00:00"/>
    <x v="1"/>
    <x v="4"/>
    <x v="3"/>
    <n v="7"/>
    <n v="150"/>
    <n v="1050"/>
    <s v="Low"/>
    <s v="Cash"/>
  </r>
  <r>
    <d v="2024-11-18T00:00:00"/>
    <x v="2"/>
    <x v="2"/>
    <x v="1"/>
    <n v="9"/>
    <n v="3200"/>
    <n v="28800"/>
    <s v="High"/>
    <s v="Mobile Money"/>
  </r>
  <r>
    <d v="2024-11-20T00:00:00"/>
    <x v="4"/>
    <x v="1"/>
    <x v="1"/>
    <n v="7"/>
    <n v="150"/>
    <n v="1050"/>
    <s v="Low"/>
    <s v="Mobile Money"/>
  </r>
  <r>
    <d v="2024-01-04T00:00:00"/>
    <x v="3"/>
    <x v="2"/>
    <x v="2"/>
    <n v="7"/>
    <n v="150"/>
    <n v="1050"/>
    <s v="Low"/>
    <s v="Mobile Money"/>
  </r>
  <r>
    <d v="2024-04-26T00:00:00"/>
    <x v="2"/>
    <x v="2"/>
    <x v="1"/>
    <n v="10"/>
    <n v="4500"/>
    <n v="45000"/>
    <s v="High"/>
    <s v="Mobile Money"/>
  </r>
  <r>
    <d v="2024-11-25T00:00:00"/>
    <x v="2"/>
    <x v="1"/>
    <x v="3"/>
    <n v="6"/>
    <n v="150"/>
    <n v="900"/>
    <s v="Low"/>
    <s v="Bank"/>
  </r>
  <r>
    <d v="2024-01-10T00:00:00"/>
    <x v="5"/>
    <x v="3"/>
    <x v="1"/>
    <n v="4"/>
    <n v="3200"/>
    <n v="12800"/>
    <s v="High"/>
    <s v="Mobile Money"/>
  </r>
  <r>
    <d v="2024-07-06T00:00:00"/>
    <x v="3"/>
    <x v="1"/>
    <x v="3"/>
    <n v="1"/>
    <n v="150"/>
    <n v="150"/>
    <s v="Low"/>
    <s v="Bank"/>
  </r>
  <r>
    <d v="2024-10-01T00:00:00"/>
    <x v="0"/>
    <x v="3"/>
    <x v="4"/>
    <n v="1"/>
    <n v="3200"/>
    <n v="3200"/>
    <s v="Low"/>
    <s v="Cash"/>
  </r>
  <r>
    <d v="2024-11-23T00:00:00"/>
    <x v="0"/>
    <x v="3"/>
    <x v="4"/>
    <n v="5"/>
    <n v="8500"/>
    <n v="42500"/>
    <s v="High"/>
    <s v="Bank"/>
  </r>
  <r>
    <d v="2024-10-17T00:00:00"/>
    <x v="7"/>
    <x v="2"/>
    <x v="0"/>
    <n v="6"/>
    <n v="8500"/>
    <n v="51000"/>
    <s v="High"/>
    <s v="Mobile Money"/>
  </r>
  <r>
    <d v="2024-03-04T00:00:00"/>
    <x v="2"/>
    <x v="1"/>
    <x v="0"/>
    <n v="8"/>
    <n v="300"/>
    <n v="2400"/>
    <s v="Low"/>
    <s v="Bank"/>
  </r>
  <r>
    <d v="2024-04-25T00:00:00"/>
    <x v="0"/>
    <x v="3"/>
    <x v="2"/>
    <n v="8"/>
    <n v="300"/>
    <n v="2400"/>
    <s v="Low"/>
    <s v="Cash"/>
  </r>
  <r>
    <d v="2024-04-15T00:00:00"/>
    <x v="3"/>
    <x v="2"/>
    <x v="2"/>
    <n v="3"/>
    <n v="4500"/>
    <n v="13500"/>
    <s v="High"/>
    <s v="Bank"/>
  </r>
  <r>
    <d v="2024-03-14T00:00:00"/>
    <x v="1"/>
    <x v="3"/>
    <x v="2"/>
    <n v="9"/>
    <n v="4500"/>
    <n v="40500"/>
    <s v="High"/>
    <s v="Mobile Money"/>
  </r>
  <r>
    <d v="2024-05-06T00:00:00"/>
    <x v="4"/>
    <x v="3"/>
    <x v="1"/>
    <n v="8"/>
    <n v="4500"/>
    <n v="36000"/>
    <s v="High"/>
    <s v="Mobile Money"/>
  </r>
  <r>
    <d v="2024-08-31T00:00:00"/>
    <x v="2"/>
    <x v="3"/>
    <x v="4"/>
    <n v="6"/>
    <n v="150"/>
    <n v="900"/>
    <s v="Low"/>
    <s v="Mobile Money"/>
  </r>
  <r>
    <d v="2024-10-29T00:00:00"/>
    <x v="0"/>
    <x v="4"/>
    <x v="3"/>
    <n v="8"/>
    <n v="8500"/>
    <n v="68000"/>
    <s v="High"/>
    <s v="Cash"/>
  </r>
  <r>
    <d v="2024-08-14T00:00:00"/>
    <x v="5"/>
    <x v="4"/>
    <x v="1"/>
    <n v="5"/>
    <n v="3200"/>
    <n v="16000"/>
    <s v="High"/>
    <s v="Mobile Money"/>
  </r>
  <r>
    <d v="2024-09-22T00:00:00"/>
    <x v="3"/>
    <x v="1"/>
    <x v="0"/>
    <n v="6"/>
    <n v="150"/>
    <n v="900"/>
    <s v="Low"/>
    <s v="Mobile Money"/>
  </r>
  <r>
    <d v="2024-05-10T00:00:00"/>
    <x v="4"/>
    <x v="3"/>
    <x v="3"/>
    <n v="8"/>
    <n v="300"/>
    <n v="2400"/>
    <s v="Low"/>
    <s v="Mobile Money"/>
  </r>
  <r>
    <d v="2024-05-24T00:00:00"/>
    <x v="7"/>
    <x v="4"/>
    <x v="1"/>
    <n v="8"/>
    <n v="3200"/>
    <n v="25600"/>
    <s v="High"/>
    <s v="Cash"/>
  </r>
  <r>
    <d v="2024-10-09T00:00:00"/>
    <x v="4"/>
    <x v="3"/>
    <x v="0"/>
    <n v="4"/>
    <n v="150"/>
    <n v="600"/>
    <s v="Low"/>
    <s v="Mobile Money"/>
  </r>
  <r>
    <d v="2024-01-20T00:00:00"/>
    <x v="6"/>
    <x v="4"/>
    <x v="2"/>
    <n v="2"/>
    <n v="300"/>
    <n v="600"/>
    <s v="Low"/>
    <s v="Cash"/>
  </r>
  <r>
    <d v="2024-03-09T00:00:00"/>
    <x v="0"/>
    <x v="2"/>
    <x v="3"/>
    <n v="1"/>
    <n v="4500"/>
    <n v="4500"/>
    <s v="Low"/>
    <s v="Bank"/>
  </r>
  <r>
    <d v="2024-09-02T00:00:00"/>
    <x v="5"/>
    <x v="2"/>
    <x v="0"/>
    <n v="3"/>
    <n v="3200"/>
    <n v="9600"/>
    <s v="Low"/>
    <s v="Cash"/>
  </r>
  <r>
    <d v="2024-10-09T00:00:00"/>
    <x v="3"/>
    <x v="2"/>
    <x v="1"/>
    <n v="8"/>
    <n v="300"/>
    <n v="2400"/>
    <s v="Low"/>
    <s v="Bank"/>
  </r>
  <r>
    <d v="2024-10-24T00:00:00"/>
    <x v="2"/>
    <x v="2"/>
    <x v="1"/>
    <n v="3"/>
    <n v="150"/>
    <n v="450"/>
    <s v="Low"/>
    <s v="Cash"/>
  </r>
  <r>
    <d v="2024-12-08T00:00:00"/>
    <x v="2"/>
    <x v="0"/>
    <x v="2"/>
    <n v="10"/>
    <n v="150"/>
    <n v="1500"/>
    <s v="Low"/>
    <s v="Mobile Money"/>
  </r>
  <r>
    <d v="2024-12-20T00:00:00"/>
    <x v="1"/>
    <x v="0"/>
    <x v="0"/>
    <n v="7"/>
    <n v="4500"/>
    <n v="31500"/>
    <s v="High"/>
    <s v="Mobile Money"/>
  </r>
  <r>
    <d v="2024-01-19T00:00:00"/>
    <x v="7"/>
    <x v="1"/>
    <x v="1"/>
    <n v="1"/>
    <n v="300"/>
    <n v="300"/>
    <s v="Low"/>
    <s v="Bank"/>
  </r>
  <r>
    <d v="2024-01-03T00:00:00"/>
    <x v="7"/>
    <x v="3"/>
    <x v="3"/>
    <n v="3"/>
    <n v="150"/>
    <n v="450"/>
    <s v="Low"/>
    <s v="Bank"/>
  </r>
  <r>
    <d v="2024-07-09T00:00:00"/>
    <x v="3"/>
    <x v="1"/>
    <x v="2"/>
    <n v="10"/>
    <n v="3200"/>
    <n v="32000"/>
    <s v="High"/>
    <s v="Bank"/>
  </r>
  <r>
    <d v="2024-06-16T00:00:00"/>
    <x v="2"/>
    <x v="0"/>
    <x v="0"/>
    <n v="7"/>
    <n v="4500"/>
    <n v="31500"/>
    <s v="High"/>
    <s v="Bank"/>
  </r>
  <r>
    <d v="2024-11-03T00:00:00"/>
    <x v="6"/>
    <x v="3"/>
    <x v="3"/>
    <n v="1"/>
    <n v="300"/>
    <n v="300"/>
    <s v="Low"/>
    <s v="Cash"/>
  </r>
  <r>
    <d v="2024-11-24T00:00:00"/>
    <x v="5"/>
    <x v="2"/>
    <x v="1"/>
    <n v="10"/>
    <n v="3200"/>
    <n v="32000"/>
    <s v="High"/>
    <s v="Mobile Money"/>
  </r>
  <r>
    <d v="2024-01-22T00:00:00"/>
    <x v="0"/>
    <x v="2"/>
    <x v="1"/>
    <n v="8"/>
    <n v="150"/>
    <n v="1200"/>
    <s v="Low"/>
    <s v="Bank"/>
  </r>
  <r>
    <d v="2024-06-29T00:00:00"/>
    <x v="5"/>
    <x v="1"/>
    <x v="1"/>
    <n v="8"/>
    <n v="150"/>
    <n v="1200"/>
    <s v="Low"/>
    <s v="Cash"/>
  </r>
  <r>
    <d v="2024-03-01T00:00:00"/>
    <x v="0"/>
    <x v="2"/>
    <x v="3"/>
    <n v="6"/>
    <n v="150"/>
    <n v="900"/>
    <s v="Low"/>
    <s v="Mobile Money"/>
  </r>
  <r>
    <d v="2024-01-14T00:00:00"/>
    <x v="3"/>
    <x v="0"/>
    <x v="2"/>
    <n v="10"/>
    <n v="3200"/>
    <n v="32000"/>
    <s v="High"/>
    <s v="Bank"/>
  </r>
  <r>
    <d v="2024-01-24T00:00:00"/>
    <x v="3"/>
    <x v="1"/>
    <x v="4"/>
    <n v="10"/>
    <n v="4500"/>
    <n v="45000"/>
    <s v="High"/>
    <s v="Mobile Money"/>
  </r>
  <r>
    <d v="2024-04-27T00:00:00"/>
    <x v="1"/>
    <x v="1"/>
    <x v="0"/>
    <n v="3"/>
    <n v="8500"/>
    <n v="25500"/>
    <s v="High"/>
    <s v="Bank"/>
  </r>
  <r>
    <d v="2024-05-11T00:00:00"/>
    <x v="2"/>
    <x v="0"/>
    <x v="4"/>
    <n v="2"/>
    <n v="300"/>
    <n v="600"/>
    <s v="Low"/>
    <s v="Mobile Money"/>
  </r>
  <r>
    <d v="2024-05-25T00:00:00"/>
    <x v="5"/>
    <x v="3"/>
    <x v="0"/>
    <n v="9"/>
    <n v="8500"/>
    <n v="76500"/>
    <s v="High"/>
    <s v="Cash"/>
  </r>
  <r>
    <d v="2024-03-22T00:00:00"/>
    <x v="1"/>
    <x v="4"/>
    <x v="1"/>
    <n v="6"/>
    <n v="300"/>
    <n v="1800"/>
    <s v="Low"/>
    <s v="Cash"/>
  </r>
  <r>
    <d v="2024-08-07T00:00:00"/>
    <x v="7"/>
    <x v="2"/>
    <x v="2"/>
    <n v="3"/>
    <n v="150"/>
    <n v="450"/>
    <s v="Low"/>
    <s v="Bank"/>
  </r>
  <r>
    <d v="2024-11-04T00:00:00"/>
    <x v="5"/>
    <x v="0"/>
    <x v="2"/>
    <n v="7"/>
    <n v="4500"/>
    <n v="31500"/>
    <s v="High"/>
    <s v="Bank"/>
  </r>
  <r>
    <d v="2024-04-12T00:00:00"/>
    <x v="0"/>
    <x v="4"/>
    <x v="1"/>
    <n v="6"/>
    <n v="4500"/>
    <n v="27000"/>
    <s v="High"/>
    <s v="Cash"/>
  </r>
  <r>
    <d v="2024-07-17T00:00:00"/>
    <x v="0"/>
    <x v="4"/>
    <x v="1"/>
    <n v="5"/>
    <n v="150"/>
    <n v="750"/>
    <s v="Low"/>
    <s v="Mobile Money"/>
  </r>
  <r>
    <d v="2024-01-10T00:00:00"/>
    <x v="2"/>
    <x v="0"/>
    <x v="3"/>
    <n v="1"/>
    <n v="150"/>
    <n v="150"/>
    <s v="Low"/>
    <s v="Mobile Money"/>
  </r>
  <r>
    <d v="2024-04-02T00:00:00"/>
    <x v="3"/>
    <x v="1"/>
    <x v="2"/>
    <n v="3"/>
    <n v="3200"/>
    <n v="9600"/>
    <s v="Low"/>
    <s v="Mobile Money"/>
  </r>
  <r>
    <d v="2024-07-06T00:00:00"/>
    <x v="3"/>
    <x v="4"/>
    <x v="3"/>
    <n v="8"/>
    <n v="4500"/>
    <n v="36000"/>
    <s v="High"/>
    <s v="Bank"/>
  </r>
  <r>
    <d v="2024-01-18T00:00:00"/>
    <x v="7"/>
    <x v="4"/>
    <x v="0"/>
    <n v="10"/>
    <n v="3200"/>
    <n v="32000"/>
    <s v="High"/>
    <s v="Bank"/>
  </r>
  <r>
    <d v="2024-02-15T00:00:00"/>
    <x v="1"/>
    <x v="1"/>
    <x v="4"/>
    <n v="7"/>
    <n v="300"/>
    <n v="2100"/>
    <s v="Low"/>
    <s v="Mobile Money"/>
  </r>
  <r>
    <d v="2024-12-10T00:00:00"/>
    <x v="7"/>
    <x v="0"/>
    <x v="4"/>
    <n v="3"/>
    <n v="8500"/>
    <n v="25500"/>
    <s v="High"/>
    <s v="Mobile Money"/>
  </r>
  <r>
    <d v="2024-12-29T00:00:00"/>
    <x v="2"/>
    <x v="0"/>
    <x v="3"/>
    <n v="10"/>
    <n v="8500"/>
    <n v="85000"/>
    <s v="High"/>
    <s v="Bank"/>
  </r>
  <r>
    <d v="2024-05-15T00:00:00"/>
    <x v="4"/>
    <x v="4"/>
    <x v="0"/>
    <n v="3"/>
    <n v="3200"/>
    <n v="9600"/>
    <s v="Low"/>
    <s v="Bank"/>
  </r>
  <r>
    <d v="2024-08-22T00:00:00"/>
    <x v="5"/>
    <x v="1"/>
    <x v="3"/>
    <n v="2"/>
    <n v="300"/>
    <n v="600"/>
    <s v="Low"/>
    <s v="Cash"/>
  </r>
  <r>
    <d v="2024-04-27T00:00:00"/>
    <x v="6"/>
    <x v="1"/>
    <x v="2"/>
    <n v="9"/>
    <n v="3200"/>
    <n v="28800"/>
    <s v="High"/>
    <s v="Mobile Money"/>
  </r>
  <r>
    <d v="2024-06-22T00:00:00"/>
    <x v="5"/>
    <x v="4"/>
    <x v="0"/>
    <n v="6"/>
    <n v="4500"/>
    <n v="27000"/>
    <s v="High"/>
    <s v="Mobile Money"/>
  </r>
  <r>
    <d v="2024-06-14T00:00:00"/>
    <x v="2"/>
    <x v="0"/>
    <x v="4"/>
    <n v="6"/>
    <n v="300"/>
    <n v="1800"/>
    <s v="Low"/>
    <s v="Bank"/>
  </r>
  <r>
    <d v="2024-03-09T00:00:00"/>
    <x v="7"/>
    <x v="2"/>
    <x v="0"/>
    <n v="10"/>
    <n v="8500"/>
    <n v="85000"/>
    <s v="High"/>
    <s v="Cash"/>
  </r>
  <r>
    <d v="2024-03-06T00:00:00"/>
    <x v="3"/>
    <x v="4"/>
    <x v="4"/>
    <n v="6"/>
    <n v="300"/>
    <n v="1800"/>
    <s v="Low"/>
    <s v="Bank"/>
  </r>
  <r>
    <d v="2024-12-25T00:00:00"/>
    <x v="2"/>
    <x v="2"/>
    <x v="1"/>
    <n v="4"/>
    <n v="8500"/>
    <n v="34000"/>
    <s v="High"/>
    <s v="Mobile Money"/>
  </r>
  <r>
    <d v="2024-02-17T00:00:00"/>
    <x v="0"/>
    <x v="2"/>
    <x v="2"/>
    <n v="3"/>
    <n v="150"/>
    <n v="450"/>
    <s v="Low"/>
    <s v="Mobile Money"/>
  </r>
  <r>
    <d v="2024-04-18T00:00:00"/>
    <x v="4"/>
    <x v="1"/>
    <x v="3"/>
    <n v="10"/>
    <n v="4500"/>
    <n v="45000"/>
    <s v="High"/>
    <s v="Bank"/>
  </r>
  <r>
    <d v="2024-01-03T00:00:00"/>
    <x v="0"/>
    <x v="0"/>
    <x v="1"/>
    <n v="4"/>
    <n v="3200"/>
    <n v="12800"/>
    <s v="High"/>
    <s v="Cash"/>
  </r>
  <r>
    <d v="2024-03-17T00:00:00"/>
    <x v="5"/>
    <x v="3"/>
    <x v="1"/>
    <n v="7"/>
    <n v="150"/>
    <n v="1050"/>
    <s v="Low"/>
    <s v="Bank"/>
  </r>
  <r>
    <d v="2024-10-19T00:00:00"/>
    <x v="3"/>
    <x v="4"/>
    <x v="2"/>
    <n v="2"/>
    <n v="150"/>
    <n v="300"/>
    <s v="Low"/>
    <s v="Cash"/>
  </r>
  <r>
    <d v="2024-03-13T00:00:00"/>
    <x v="7"/>
    <x v="3"/>
    <x v="4"/>
    <n v="9"/>
    <n v="4500"/>
    <n v="40500"/>
    <s v="High"/>
    <s v="Bank"/>
  </r>
  <r>
    <d v="2024-09-28T00:00:00"/>
    <x v="7"/>
    <x v="2"/>
    <x v="3"/>
    <n v="10"/>
    <n v="8500"/>
    <n v="85000"/>
    <s v="High"/>
    <s v="Cash"/>
  </r>
  <r>
    <d v="2024-03-12T00:00:00"/>
    <x v="1"/>
    <x v="2"/>
    <x v="3"/>
    <n v="5"/>
    <n v="3200"/>
    <n v="16000"/>
    <s v="High"/>
    <s v="Cash"/>
  </r>
  <r>
    <d v="2024-08-04T00:00:00"/>
    <x v="5"/>
    <x v="4"/>
    <x v="4"/>
    <n v="7"/>
    <n v="3200"/>
    <n v="22400"/>
    <s v="High"/>
    <s v="Mobile Money"/>
  </r>
  <r>
    <d v="2024-12-22T00:00:00"/>
    <x v="5"/>
    <x v="4"/>
    <x v="1"/>
    <n v="5"/>
    <n v="8500"/>
    <n v="42500"/>
    <s v="High"/>
    <s v="Mobile Money"/>
  </r>
  <r>
    <d v="2024-12-15T00:00:00"/>
    <x v="2"/>
    <x v="4"/>
    <x v="3"/>
    <n v="4"/>
    <n v="150"/>
    <n v="600"/>
    <s v="Low"/>
    <s v="Mobile Money"/>
  </r>
  <r>
    <d v="2024-06-17T00:00:00"/>
    <x v="4"/>
    <x v="3"/>
    <x v="1"/>
    <n v="7"/>
    <n v="3200"/>
    <n v="22400"/>
    <s v="High"/>
    <s v="Mobile Money"/>
  </r>
  <r>
    <d v="2024-06-27T00:00:00"/>
    <x v="7"/>
    <x v="1"/>
    <x v="4"/>
    <n v="8"/>
    <n v="150"/>
    <n v="1200"/>
    <s v="Low"/>
    <s v="Cash"/>
  </r>
  <r>
    <d v="2024-07-25T00:00:00"/>
    <x v="1"/>
    <x v="1"/>
    <x v="4"/>
    <n v="6"/>
    <n v="8500"/>
    <n v="51000"/>
    <s v="High"/>
    <s v="Cash"/>
  </r>
  <r>
    <d v="2024-02-22T00:00:00"/>
    <x v="2"/>
    <x v="4"/>
    <x v="1"/>
    <n v="7"/>
    <n v="8500"/>
    <n v="59500"/>
    <s v="High"/>
    <s v="Bank"/>
  </r>
  <r>
    <d v="2024-10-20T00:00:00"/>
    <x v="2"/>
    <x v="1"/>
    <x v="1"/>
    <n v="1"/>
    <n v="150"/>
    <n v="150"/>
    <s v="Low"/>
    <s v="Cash"/>
  </r>
  <r>
    <d v="2024-02-19T00:00:00"/>
    <x v="5"/>
    <x v="1"/>
    <x v="1"/>
    <n v="4"/>
    <n v="150"/>
    <n v="600"/>
    <s v="Low"/>
    <s v="Bank"/>
  </r>
  <r>
    <d v="2024-03-04T00:00:00"/>
    <x v="6"/>
    <x v="3"/>
    <x v="4"/>
    <n v="5"/>
    <n v="150"/>
    <n v="750"/>
    <s v="Low"/>
    <s v="Bank"/>
  </r>
  <r>
    <d v="2024-07-25T00:00:00"/>
    <x v="2"/>
    <x v="4"/>
    <x v="2"/>
    <n v="7"/>
    <n v="8500"/>
    <n v="59500"/>
    <s v="High"/>
    <s v="Cash"/>
  </r>
  <r>
    <d v="2024-08-28T00:00:00"/>
    <x v="1"/>
    <x v="2"/>
    <x v="1"/>
    <n v="8"/>
    <n v="4500"/>
    <n v="36000"/>
    <s v="High"/>
    <s v="Mobile Money"/>
  </r>
  <r>
    <d v="2024-02-08T00:00:00"/>
    <x v="1"/>
    <x v="0"/>
    <x v="0"/>
    <n v="4"/>
    <n v="150"/>
    <n v="600"/>
    <s v="Low"/>
    <s v="Mobile Money"/>
  </r>
  <r>
    <d v="2024-11-14T00:00:00"/>
    <x v="2"/>
    <x v="2"/>
    <x v="1"/>
    <n v="1"/>
    <n v="300"/>
    <n v="300"/>
    <s v="Low"/>
    <s v="Bank"/>
  </r>
  <r>
    <d v="2024-04-27T00:00:00"/>
    <x v="6"/>
    <x v="2"/>
    <x v="1"/>
    <n v="2"/>
    <n v="150"/>
    <n v="300"/>
    <s v="Low"/>
    <s v="Cash"/>
  </r>
  <r>
    <d v="2024-06-06T00:00:00"/>
    <x v="4"/>
    <x v="1"/>
    <x v="1"/>
    <n v="7"/>
    <n v="150"/>
    <n v="1050"/>
    <s v="Low"/>
    <s v="Cash"/>
  </r>
  <r>
    <d v="2024-08-12T00:00:00"/>
    <x v="6"/>
    <x v="4"/>
    <x v="4"/>
    <n v="10"/>
    <n v="150"/>
    <n v="1500"/>
    <s v="Low"/>
    <s v="Cash"/>
  </r>
  <r>
    <d v="2024-04-29T00:00:00"/>
    <x v="5"/>
    <x v="3"/>
    <x v="2"/>
    <n v="10"/>
    <n v="8500"/>
    <n v="85000"/>
    <s v="High"/>
    <s v="Mobile Money"/>
  </r>
  <r>
    <d v="2024-06-01T00:00:00"/>
    <x v="0"/>
    <x v="1"/>
    <x v="0"/>
    <n v="1"/>
    <n v="4500"/>
    <n v="4500"/>
    <s v="Low"/>
    <s v="Mobile Money"/>
  </r>
  <r>
    <d v="2024-06-17T00:00:00"/>
    <x v="7"/>
    <x v="4"/>
    <x v="4"/>
    <n v="8"/>
    <n v="300"/>
    <n v="2400"/>
    <s v="Low"/>
    <s v="Cash"/>
  </r>
  <r>
    <d v="2024-01-07T00:00:00"/>
    <x v="4"/>
    <x v="0"/>
    <x v="4"/>
    <n v="4"/>
    <n v="8500"/>
    <n v="34000"/>
    <s v="High"/>
    <s v="Mobile Money"/>
  </r>
  <r>
    <d v="2024-12-20T00:00:00"/>
    <x v="7"/>
    <x v="0"/>
    <x v="3"/>
    <n v="2"/>
    <n v="8500"/>
    <n v="17000"/>
    <s v="High"/>
    <s v="Bank"/>
  </r>
  <r>
    <d v="2024-02-02T00:00:00"/>
    <x v="5"/>
    <x v="2"/>
    <x v="3"/>
    <n v="4"/>
    <n v="3200"/>
    <n v="12800"/>
    <s v="High"/>
    <s v="Bank"/>
  </r>
  <r>
    <d v="2024-01-13T00:00:00"/>
    <x v="3"/>
    <x v="3"/>
    <x v="1"/>
    <n v="8"/>
    <n v="3200"/>
    <n v="25600"/>
    <s v="High"/>
    <s v="Bank"/>
  </r>
  <r>
    <d v="2024-11-09T00:00:00"/>
    <x v="7"/>
    <x v="3"/>
    <x v="3"/>
    <n v="6"/>
    <n v="150"/>
    <n v="900"/>
    <s v="Low"/>
    <s v="Bank"/>
  </r>
  <r>
    <d v="2024-11-09T00:00:00"/>
    <x v="4"/>
    <x v="3"/>
    <x v="4"/>
    <n v="8"/>
    <n v="3200"/>
    <n v="25600"/>
    <s v="High"/>
    <s v="Bank"/>
  </r>
  <r>
    <d v="2024-04-10T00:00:00"/>
    <x v="6"/>
    <x v="3"/>
    <x v="3"/>
    <n v="1"/>
    <n v="8500"/>
    <n v="8500"/>
    <s v="Low"/>
    <s v="Mobile Money"/>
  </r>
  <r>
    <d v="2024-09-19T00:00:00"/>
    <x v="6"/>
    <x v="2"/>
    <x v="0"/>
    <n v="2"/>
    <n v="3200"/>
    <n v="6400"/>
    <s v="Low"/>
    <s v="Mobile Money"/>
  </r>
  <r>
    <d v="2024-07-29T00:00:00"/>
    <x v="7"/>
    <x v="1"/>
    <x v="0"/>
    <n v="8"/>
    <n v="300"/>
    <n v="2400"/>
    <s v="Low"/>
    <s v="Mobile Money"/>
  </r>
  <r>
    <d v="2024-03-29T00:00:00"/>
    <x v="7"/>
    <x v="3"/>
    <x v="4"/>
    <n v="9"/>
    <n v="300"/>
    <n v="2700"/>
    <s v="Low"/>
    <s v="Mobile Money"/>
  </r>
  <r>
    <d v="2024-03-28T00:00:00"/>
    <x v="7"/>
    <x v="0"/>
    <x v="4"/>
    <n v="2"/>
    <n v="8500"/>
    <n v="17000"/>
    <s v="High"/>
    <s v="Cash"/>
  </r>
  <r>
    <d v="2024-06-05T00:00:00"/>
    <x v="4"/>
    <x v="2"/>
    <x v="2"/>
    <n v="2"/>
    <n v="8500"/>
    <n v="17000"/>
    <s v="High"/>
    <s v="Mobile Money"/>
  </r>
  <r>
    <d v="2024-11-04T00:00:00"/>
    <x v="0"/>
    <x v="3"/>
    <x v="1"/>
    <n v="1"/>
    <n v="4500"/>
    <n v="4500"/>
    <s v="Low"/>
    <s v="Cash"/>
  </r>
  <r>
    <d v="2024-11-02T00:00:00"/>
    <x v="4"/>
    <x v="0"/>
    <x v="2"/>
    <n v="6"/>
    <n v="150"/>
    <n v="900"/>
    <s v="Low"/>
    <s v="Cash"/>
  </r>
  <r>
    <d v="2024-09-27T00:00:00"/>
    <x v="5"/>
    <x v="3"/>
    <x v="1"/>
    <n v="9"/>
    <n v="4500"/>
    <n v="40500"/>
    <s v="High"/>
    <s v="Cash"/>
  </r>
  <r>
    <d v="2024-04-18T00:00:00"/>
    <x v="2"/>
    <x v="2"/>
    <x v="2"/>
    <n v="2"/>
    <n v="150"/>
    <n v="300"/>
    <s v="Low"/>
    <s v="Bank"/>
  </r>
  <r>
    <d v="2024-12-17T00:00:00"/>
    <x v="3"/>
    <x v="3"/>
    <x v="2"/>
    <n v="1"/>
    <n v="4500"/>
    <n v="4500"/>
    <s v="Low"/>
    <s v="Cash"/>
  </r>
  <r>
    <d v="2024-06-05T00:00:00"/>
    <x v="5"/>
    <x v="0"/>
    <x v="4"/>
    <n v="4"/>
    <n v="4500"/>
    <n v="18000"/>
    <s v="High"/>
    <s v="Mobile Money"/>
  </r>
  <r>
    <d v="2024-05-14T00:00:00"/>
    <x v="6"/>
    <x v="1"/>
    <x v="0"/>
    <n v="3"/>
    <n v="8500"/>
    <n v="25500"/>
    <s v="High"/>
    <s v="Bank"/>
  </r>
  <r>
    <d v="2024-12-13T00:00:00"/>
    <x v="0"/>
    <x v="0"/>
    <x v="3"/>
    <n v="6"/>
    <n v="300"/>
    <n v="1800"/>
    <s v="Low"/>
    <s v="Cash"/>
  </r>
  <r>
    <d v="2024-02-28T00:00:00"/>
    <x v="5"/>
    <x v="4"/>
    <x v="0"/>
    <n v="3"/>
    <n v="3200"/>
    <n v="9600"/>
    <s v="Low"/>
    <s v="Bank"/>
  </r>
  <r>
    <d v="2024-11-20T00:00:00"/>
    <x v="1"/>
    <x v="3"/>
    <x v="2"/>
    <n v="10"/>
    <n v="300"/>
    <n v="3000"/>
    <s v="Low"/>
    <s v="Cash"/>
  </r>
  <r>
    <d v="2024-12-18T00:00:00"/>
    <x v="0"/>
    <x v="4"/>
    <x v="3"/>
    <n v="8"/>
    <n v="4500"/>
    <n v="36000"/>
    <s v="High"/>
    <s v="Mobile Money"/>
  </r>
  <r>
    <d v="2024-04-03T00:00:00"/>
    <x v="3"/>
    <x v="4"/>
    <x v="2"/>
    <n v="8"/>
    <n v="3200"/>
    <n v="25600"/>
    <s v="High"/>
    <s v="Bank"/>
  </r>
  <r>
    <d v="2024-10-21T00:00:00"/>
    <x v="1"/>
    <x v="1"/>
    <x v="1"/>
    <n v="3"/>
    <n v="4500"/>
    <n v="13500"/>
    <s v="High"/>
    <s v="Bank"/>
  </r>
  <r>
    <d v="2024-07-26T00:00:00"/>
    <x v="1"/>
    <x v="0"/>
    <x v="2"/>
    <n v="7"/>
    <n v="150"/>
    <n v="1050"/>
    <s v="Low"/>
    <s v="Bank"/>
  </r>
  <r>
    <d v="2024-05-26T00:00:00"/>
    <x v="1"/>
    <x v="1"/>
    <x v="4"/>
    <n v="6"/>
    <n v="4500"/>
    <n v="27000"/>
    <s v="High"/>
    <s v="Cash"/>
  </r>
  <r>
    <d v="2024-05-31T00:00:00"/>
    <x v="7"/>
    <x v="0"/>
    <x v="1"/>
    <n v="3"/>
    <n v="8500"/>
    <n v="25500"/>
    <s v="High"/>
    <s v="Mobile Money"/>
  </r>
  <r>
    <d v="2024-01-19T00:00:00"/>
    <x v="6"/>
    <x v="2"/>
    <x v="3"/>
    <n v="2"/>
    <n v="150"/>
    <n v="300"/>
    <s v="Low"/>
    <s v="Mobile Money"/>
  </r>
  <r>
    <d v="2024-04-08T00:00:00"/>
    <x v="7"/>
    <x v="4"/>
    <x v="2"/>
    <n v="7"/>
    <n v="3200"/>
    <n v="22400"/>
    <s v="High"/>
    <s v="Mobile Money"/>
  </r>
  <r>
    <d v="2024-02-21T00:00:00"/>
    <x v="0"/>
    <x v="3"/>
    <x v="0"/>
    <n v="3"/>
    <n v="4500"/>
    <n v="13500"/>
    <s v="High"/>
    <s v="Cash"/>
  </r>
  <r>
    <d v="2024-09-08T00:00:00"/>
    <x v="5"/>
    <x v="0"/>
    <x v="0"/>
    <n v="10"/>
    <n v="300"/>
    <n v="3000"/>
    <s v="Low"/>
    <s v="Cash"/>
  </r>
  <r>
    <d v="2024-04-01T00:00:00"/>
    <x v="1"/>
    <x v="3"/>
    <x v="1"/>
    <n v="7"/>
    <n v="300"/>
    <n v="2100"/>
    <s v="Low"/>
    <s v="Bank"/>
  </r>
  <r>
    <d v="2024-08-04T00:00:00"/>
    <x v="5"/>
    <x v="2"/>
    <x v="0"/>
    <n v="1"/>
    <n v="150"/>
    <n v="150"/>
    <s v="Low"/>
    <s v="Mobile Money"/>
  </r>
  <r>
    <d v="2024-03-27T00:00:00"/>
    <x v="7"/>
    <x v="1"/>
    <x v="4"/>
    <n v="10"/>
    <n v="300"/>
    <n v="3000"/>
    <s v="Low"/>
    <s v="Cash"/>
  </r>
  <r>
    <d v="2024-10-20T00:00:00"/>
    <x v="7"/>
    <x v="3"/>
    <x v="1"/>
    <n v="5"/>
    <n v="8500"/>
    <n v="42500"/>
    <s v="High"/>
    <s v="Mobile Money"/>
  </r>
  <r>
    <d v="2024-01-19T00:00:00"/>
    <x v="2"/>
    <x v="3"/>
    <x v="0"/>
    <n v="9"/>
    <n v="150"/>
    <n v="1350"/>
    <s v="Low"/>
    <s v="Cash"/>
  </r>
  <r>
    <d v="2024-08-31T00:00:00"/>
    <x v="2"/>
    <x v="2"/>
    <x v="3"/>
    <n v="9"/>
    <n v="300"/>
    <n v="2700"/>
    <s v="Low"/>
    <s v="Cash"/>
  </r>
  <r>
    <d v="2024-10-05T00:00:00"/>
    <x v="5"/>
    <x v="0"/>
    <x v="2"/>
    <n v="4"/>
    <n v="3200"/>
    <n v="12800"/>
    <s v="High"/>
    <s v="Mobile Money"/>
  </r>
  <r>
    <d v="2024-02-08T00:00:00"/>
    <x v="0"/>
    <x v="0"/>
    <x v="4"/>
    <n v="8"/>
    <n v="4500"/>
    <n v="36000"/>
    <s v="High"/>
    <s v="Cash"/>
  </r>
  <r>
    <d v="2024-02-17T00:00:00"/>
    <x v="0"/>
    <x v="3"/>
    <x v="2"/>
    <n v="4"/>
    <n v="8500"/>
    <n v="34000"/>
    <s v="High"/>
    <s v="Bank"/>
  </r>
  <r>
    <d v="2024-06-13T00:00:00"/>
    <x v="7"/>
    <x v="2"/>
    <x v="2"/>
    <n v="6"/>
    <n v="4500"/>
    <n v="27000"/>
    <s v="High"/>
    <s v="Mobile Money"/>
  </r>
  <r>
    <d v="2024-06-26T00:00:00"/>
    <x v="1"/>
    <x v="2"/>
    <x v="1"/>
    <n v="3"/>
    <n v="4500"/>
    <n v="13500"/>
    <s v="High"/>
    <s v="Cash"/>
  </r>
  <r>
    <d v="2024-10-04T00:00:00"/>
    <x v="7"/>
    <x v="1"/>
    <x v="4"/>
    <n v="2"/>
    <n v="150"/>
    <n v="300"/>
    <s v="Low"/>
    <s v="Bank"/>
  </r>
  <r>
    <d v="2024-11-15T00:00:00"/>
    <x v="2"/>
    <x v="0"/>
    <x v="2"/>
    <n v="4"/>
    <n v="8500"/>
    <n v="34000"/>
    <s v="High"/>
    <s v="Bank"/>
  </r>
  <r>
    <d v="2024-03-25T00:00:00"/>
    <x v="1"/>
    <x v="0"/>
    <x v="4"/>
    <n v="10"/>
    <n v="4500"/>
    <n v="45000"/>
    <s v="High"/>
    <s v="Cash"/>
  </r>
  <r>
    <d v="2024-05-17T00:00:00"/>
    <x v="7"/>
    <x v="4"/>
    <x v="4"/>
    <n v="8"/>
    <n v="8500"/>
    <n v="68000"/>
    <s v="High"/>
    <s v="Bank"/>
  </r>
  <r>
    <d v="2024-07-30T00:00:00"/>
    <x v="3"/>
    <x v="1"/>
    <x v="1"/>
    <n v="5"/>
    <n v="8500"/>
    <n v="42500"/>
    <s v="High"/>
    <s v="Mobile Money"/>
  </r>
  <r>
    <d v="2024-11-12T00:00:00"/>
    <x v="1"/>
    <x v="2"/>
    <x v="3"/>
    <n v="6"/>
    <n v="150"/>
    <n v="900"/>
    <s v="Low"/>
    <s v="Cash"/>
  </r>
  <r>
    <d v="2024-07-24T00:00:00"/>
    <x v="0"/>
    <x v="3"/>
    <x v="0"/>
    <n v="2"/>
    <n v="3200"/>
    <n v="6400"/>
    <s v="Low"/>
    <s v="Cash"/>
  </r>
  <r>
    <d v="2024-06-04T00:00:00"/>
    <x v="5"/>
    <x v="2"/>
    <x v="4"/>
    <n v="8"/>
    <n v="300"/>
    <n v="2400"/>
    <s v="Low"/>
    <s v="Cash"/>
  </r>
  <r>
    <d v="2024-11-05T00:00:00"/>
    <x v="0"/>
    <x v="3"/>
    <x v="2"/>
    <n v="9"/>
    <n v="8500"/>
    <n v="76500"/>
    <s v="High"/>
    <s v="Mobile Money"/>
  </r>
  <r>
    <d v="2024-10-16T00:00:00"/>
    <x v="6"/>
    <x v="4"/>
    <x v="1"/>
    <n v="1"/>
    <n v="4500"/>
    <n v="4500"/>
    <s v="Low"/>
    <s v="Mobile Money"/>
  </r>
  <r>
    <d v="2024-12-19T00:00:00"/>
    <x v="4"/>
    <x v="1"/>
    <x v="1"/>
    <n v="1"/>
    <n v="150"/>
    <n v="150"/>
    <s v="Low"/>
    <s v="Cash"/>
  </r>
  <r>
    <d v="2024-11-22T00:00:00"/>
    <x v="7"/>
    <x v="2"/>
    <x v="0"/>
    <n v="4"/>
    <n v="150"/>
    <n v="600"/>
    <s v="Low"/>
    <s v="Cash"/>
  </r>
  <r>
    <d v="2024-01-16T00:00:00"/>
    <x v="1"/>
    <x v="4"/>
    <x v="3"/>
    <n v="1"/>
    <n v="300"/>
    <n v="300"/>
    <s v="Low"/>
    <s v="Mobile Money"/>
  </r>
  <r>
    <d v="2024-09-27T00:00:00"/>
    <x v="2"/>
    <x v="2"/>
    <x v="4"/>
    <n v="8"/>
    <n v="3200"/>
    <n v="25600"/>
    <s v="High"/>
    <s v="Cash"/>
  </r>
  <r>
    <d v="2024-08-29T00:00:00"/>
    <x v="2"/>
    <x v="0"/>
    <x v="0"/>
    <n v="1"/>
    <n v="8500"/>
    <n v="8500"/>
    <s v="Low"/>
    <s v="Cash"/>
  </r>
  <r>
    <d v="2024-01-08T00:00:00"/>
    <x v="7"/>
    <x v="1"/>
    <x v="1"/>
    <n v="8"/>
    <n v="300"/>
    <n v="2400"/>
    <s v="Low"/>
    <s v="Mobile Money"/>
  </r>
  <r>
    <d v="2024-08-04T00:00:00"/>
    <x v="6"/>
    <x v="3"/>
    <x v="1"/>
    <n v="4"/>
    <n v="150"/>
    <n v="600"/>
    <s v="Low"/>
    <s v="Cash"/>
  </r>
  <r>
    <d v="2024-03-08T00:00:00"/>
    <x v="6"/>
    <x v="4"/>
    <x v="2"/>
    <n v="1"/>
    <n v="150"/>
    <n v="150"/>
    <s v="Low"/>
    <s v="Mobile Money"/>
  </r>
  <r>
    <d v="2024-08-01T00:00:00"/>
    <x v="4"/>
    <x v="1"/>
    <x v="3"/>
    <n v="8"/>
    <n v="4500"/>
    <n v="36000"/>
    <s v="High"/>
    <s v="Bank"/>
  </r>
  <r>
    <d v="2024-01-26T00:00:00"/>
    <x v="3"/>
    <x v="4"/>
    <x v="1"/>
    <n v="3"/>
    <n v="3200"/>
    <n v="9600"/>
    <s v="Low"/>
    <s v="Cash"/>
  </r>
  <r>
    <d v="2024-03-30T00:00:00"/>
    <x v="5"/>
    <x v="4"/>
    <x v="4"/>
    <n v="7"/>
    <n v="150"/>
    <n v="1050"/>
    <s v="Low"/>
    <s v="Mobile Money"/>
  </r>
  <r>
    <d v="2024-10-29T00:00:00"/>
    <x v="6"/>
    <x v="1"/>
    <x v="4"/>
    <n v="6"/>
    <n v="8500"/>
    <n v="51000"/>
    <s v="High"/>
    <s v="Bank"/>
  </r>
  <r>
    <d v="2024-10-22T00:00:00"/>
    <x v="0"/>
    <x v="2"/>
    <x v="4"/>
    <n v="3"/>
    <n v="8500"/>
    <n v="25500"/>
    <s v="High"/>
    <s v="Bank"/>
  </r>
  <r>
    <d v="2024-09-18T00:00:00"/>
    <x v="3"/>
    <x v="0"/>
    <x v="3"/>
    <n v="2"/>
    <n v="8500"/>
    <n v="17000"/>
    <s v="High"/>
    <s v="Cash"/>
  </r>
  <r>
    <d v="2024-06-15T00:00:00"/>
    <x v="2"/>
    <x v="3"/>
    <x v="3"/>
    <n v="9"/>
    <n v="3200"/>
    <n v="28800"/>
    <s v="High"/>
    <s v="Bank"/>
  </r>
  <r>
    <d v="2024-12-28T00:00:00"/>
    <x v="5"/>
    <x v="1"/>
    <x v="2"/>
    <n v="4"/>
    <n v="3200"/>
    <n v="12800"/>
    <s v="High"/>
    <s v="Bank"/>
  </r>
  <r>
    <d v="2024-09-19T00:00:00"/>
    <x v="7"/>
    <x v="1"/>
    <x v="1"/>
    <n v="10"/>
    <n v="4500"/>
    <n v="45000"/>
    <s v="High"/>
    <s v="Cash"/>
  </r>
  <r>
    <d v="2024-03-22T00:00:00"/>
    <x v="1"/>
    <x v="3"/>
    <x v="3"/>
    <n v="2"/>
    <n v="150"/>
    <n v="300"/>
    <s v="Low"/>
    <s v="Cash"/>
  </r>
  <r>
    <d v="2024-10-16T00:00:00"/>
    <x v="0"/>
    <x v="2"/>
    <x v="2"/>
    <n v="4"/>
    <n v="3200"/>
    <n v="12800"/>
    <s v="High"/>
    <s v="Mobile Money"/>
  </r>
  <r>
    <d v="2024-10-23T00:00:00"/>
    <x v="7"/>
    <x v="3"/>
    <x v="4"/>
    <n v="5"/>
    <n v="4500"/>
    <n v="22500"/>
    <s v="High"/>
    <s v="Mobile Money"/>
  </r>
  <r>
    <d v="2024-12-21T00:00:00"/>
    <x v="2"/>
    <x v="3"/>
    <x v="0"/>
    <n v="1"/>
    <n v="8500"/>
    <n v="8500"/>
    <s v="Low"/>
    <s v="Bank"/>
  </r>
  <r>
    <d v="2024-11-06T00:00:00"/>
    <x v="5"/>
    <x v="4"/>
    <x v="4"/>
    <n v="1"/>
    <n v="300"/>
    <n v="300"/>
    <s v="Low"/>
    <s v="Cash"/>
  </r>
  <r>
    <d v="2024-10-06T00:00:00"/>
    <x v="4"/>
    <x v="4"/>
    <x v="2"/>
    <n v="3"/>
    <n v="8500"/>
    <n v="25500"/>
    <s v="High"/>
    <s v="Cash"/>
  </r>
  <r>
    <d v="2024-08-24T00:00:00"/>
    <x v="5"/>
    <x v="1"/>
    <x v="4"/>
    <n v="10"/>
    <n v="4500"/>
    <n v="45000"/>
    <s v="High"/>
    <s v="Cash"/>
  </r>
  <r>
    <d v="2024-05-22T00:00:00"/>
    <x v="3"/>
    <x v="2"/>
    <x v="0"/>
    <n v="10"/>
    <n v="8500"/>
    <n v="85000"/>
    <s v="High"/>
    <s v="Bank"/>
  </r>
  <r>
    <d v="2024-07-02T00:00:00"/>
    <x v="5"/>
    <x v="0"/>
    <x v="1"/>
    <n v="7"/>
    <n v="300"/>
    <n v="2100"/>
    <s v="Low"/>
    <s v="Mobile Money"/>
  </r>
  <r>
    <d v="2024-07-04T00:00:00"/>
    <x v="2"/>
    <x v="3"/>
    <x v="4"/>
    <n v="3"/>
    <n v="150"/>
    <n v="450"/>
    <s v="Low"/>
    <s v="Cash"/>
  </r>
  <r>
    <d v="2024-05-31T00:00:00"/>
    <x v="2"/>
    <x v="1"/>
    <x v="3"/>
    <n v="8"/>
    <n v="8500"/>
    <n v="68000"/>
    <s v="High"/>
    <s v="Bank"/>
  </r>
  <r>
    <d v="2024-12-10T00:00:00"/>
    <x v="7"/>
    <x v="4"/>
    <x v="4"/>
    <n v="10"/>
    <n v="3200"/>
    <n v="32000"/>
    <s v="High"/>
    <s v="Cash"/>
  </r>
  <r>
    <d v="2024-12-22T00:00:00"/>
    <x v="5"/>
    <x v="3"/>
    <x v="3"/>
    <n v="7"/>
    <n v="8500"/>
    <n v="59500"/>
    <s v="High"/>
    <s v="Cash"/>
  </r>
  <r>
    <d v="2024-04-04T00:00:00"/>
    <x v="0"/>
    <x v="3"/>
    <x v="0"/>
    <n v="7"/>
    <n v="3200"/>
    <n v="22400"/>
    <s v="High"/>
    <s v="Bank"/>
  </r>
  <r>
    <d v="2024-12-19T00:00:00"/>
    <x v="0"/>
    <x v="2"/>
    <x v="2"/>
    <n v="8"/>
    <n v="300"/>
    <n v="2400"/>
    <s v="Low"/>
    <s v="Bank"/>
  </r>
  <r>
    <d v="2024-03-16T00:00:00"/>
    <x v="5"/>
    <x v="3"/>
    <x v="0"/>
    <n v="2"/>
    <n v="4500"/>
    <n v="9000"/>
    <s v="Low"/>
    <s v="Cash"/>
  </r>
  <r>
    <d v="2024-11-16T00:00:00"/>
    <x v="1"/>
    <x v="1"/>
    <x v="3"/>
    <n v="10"/>
    <n v="300"/>
    <n v="3000"/>
    <s v="Low"/>
    <s v="Cash"/>
  </r>
  <r>
    <d v="2024-12-02T00:00:00"/>
    <x v="1"/>
    <x v="0"/>
    <x v="3"/>
    <n v="4"/>
    <n v="3200"/>
    <n v="12800"/>
    <s v="High"/>
    <s v="Mobile Money"/>
  </r>
  <r>
    <d v="2024-03-07T00:00:00"/>
    <x v="2"/>
    <x v="2"/>
    <x v="2"/>
    <n v="7"/>
    <n v="3200"/>
    <n v="22400"/>
    <s v="High"/>
    <s v="Mobile Money"/>
  </r>
  <r>
    <d v="2024-09-15T00:00:00"/>
    <x v="4"/>
    <x v="1"/>
    <x v="3"/>
    <n v="2"/>
    <n v="4500"/>
    <n v="9000"/>
    <s v="Low"/>
    <s v="Mobile Money"/>
  </r>
  <r>
    <d v="2024-01-28T00:00:00"/>
    <x v="4"/>
    <x v="3"/>
    <x v="1"/>
    <n v="1"/>
    <n v="3200"/>
    <n v="3200"/>
    <s v="Low"/>
    <s v="Cash"/>
  </r>
  <r>
    <d v="2024-02-06T00:00:00"/>
    <x v="0"/>
    <x v="4"/>
    <x v="4"/>
    <n v="6"/>
    <n v="150"/>
    <n v="900"/>
    <s v="Low"/>
    <s v="Cash"/>
  </r>
  <r>
    <d v="2024-03-27T00:00:00"/>
    <x v="7"/>
    <x v="4"/>
    <x v="1"/>
    <n v="1"/>
    <n v="8500"/>
    <n v="8500"/>
    <s v="Low"/>
    <s v="Bank"/>
  </r>
  <r>
    <d v="2024-11-19T00:00:00"/>
    <x v="7"/>
    <x v="3"/>
    <x v="0"/>
    <n v="7"/>
    <n v="150"/>
    <n v="1050"/>
    <s v="Low"/>
    <s v="Bank"/>
  </r>
  <r>
    <d v="2024-03-13T00:00:00"/>
    <x v="7"/>
    <x v="0"/>
    <x v="2"/>
    <n v="5"/>
    <n v="300"/>
    <n v="1500"/>
    <s v="Low"/>
    <s v="Bank"/>
  </r>
  <r>
    <d v="2024-09-13T00:00:00"/>
    <x v="3"/>
    <x v="1"/>
    <x v="0"/>
    <n v="9"/>
    <n v="4500"/>
    <n v="40500"/>
    <s v="High"/>
    <s v="Mobile Money"/>
  </r>
  <r>
    <d v="2024-06-23T00:00:00"/>
    <x v="1"/>
    <x v="2"/>
    <x v="0"/>
    <n v="9"/>
    <n v="300"/>
    <n v="2700"/>
    <s v="Low"/>
    <s v="Cash"/>
  </r>
  <r>
    <d v="2024-02-16T00:00:00"/>
    <x v="5"/>
    <x v="0"/>
    <x v="2"/>
    <n v="6"/>
    <n v="300"/>
    <n v="1800"/>
    <s v="Low"/>
    <s v="Bank"/>
  </r>
  <r>
    <d v="2024-07-06T00:00:00"/>
    <x v="4"/>
    <x v="0"/>
    <x v="4"/>
    <n v="2"/>
    <n v="4500"/>
    <n v="9000"/>
    <s v="Low"/>
    <s v="Cash"/>
  </r>
  <r>
    <d v="2024-04-22T00:00:00"/>
    <x v="5"/>
    <x v="2"/>
    <x v="1"/>
    <n v="3"/>
    <n v="8500"/>
    <n v="25500"/>
    <s v="High"/>
    <s v="Mobile Money"/>
  </r>
  <r>
    <d v="2024-12-13T00:00:00"/>
    <x v="5"/>
    <x v="1"/>
    <x v="2"/>
    <n v="10"/>
    <n v="150"/>
    <n v="1500"/>
    <s v="Low"/>
    <s v="Bank"/>
  </r>
  <r>
    <d v="2024-11-22T00:00:00"/>
    <x v="5"/>
    <x v="2"/>
    <x v="3"/>
    <n v="4"/>
    <n v="4500"/>
    <n v="18000"/>
    <s v="High"/>
    <s v="Cash"/>
  </r>
  <r>
    <d v="2024-12-30T00:00:00"/>
    <x v="5"/>
    <x v="1"/>
    <x v="1"/>
    <n v="8"/>
    <n v="3200"/>
    <n v="25600"/>
    <s v="High"/>
    <s v="Bank"/>
  </r>
  <r>
    <d v="2024-08-15T00:00:00"/>
    <x v="7"/>
    <x v="4"/>
    <x v="2"/>
    <n v="5"/>
    <n v="150"/>
    <n v="750"/>
    <s v="Low"/>
    <s v="Bank"/>
  </r>
  <r>
    <d v="2024-12-21T00:00:00"/>
    <x v="4"/>
    <x v="1"/>
    <x v="0"/>
    <n v="6"/>
    <n v="4500"/>
    <n v="27000"/>
    <s v="High"/>
    <s v="Mobile Money"/>
  </r>
  <r>
    <d v="2024-09-25T00:00:00"/>
    <x v="7"/>
    <x v="2"/>
    <x v="1"/>
    <n v="2"/>
    <n v="300"/>
    <n v="600"/>
    <s v="Low"/>
    <s v="Bank"/>
  </r>
  <r>
    <d v="2024-11-02T00:00:00"/>
    <x v="4"/>
    <x v="3"/>
    <x v="2"/>
    <n v="5"/>
    <n v="150"/>
    <n v="750"/>
    <s v="Low"/>
    <s v="Cash"/>
  </r>
  <r>
    <d v="2024-12-02T00:00:00"/>
    <x v="5"/>
    <x v="0"/>
    <x v="3"/>
    <n v="3"/>
    <n v="4500"/>
    <n v="13500"/>
    <s v="High"/>
    <s v="Bank"/>
  </r>
  <r>
    <d v="2024-06-04T00:00:00"/>
    <x v="1"/>
    <x v="3"/>
    <x v="2"/>
    <n v="1"/>
    <n v="3200"/>
    <n v="3200"/>
    <s v="Low"/>
    <s v="Bank"/>
  </r>
  <r>
    <d v="2024-08-09T00:00:00"/>
    <x v="5"/>
    <x v="2"/>
    <x v="2"/>
    <n v="3"/>
    <n v="4500"/>
    <n v="13500"/>
    <s v="High"/>
    <s v="Mobile Money"/>
  </r>
  <r>
    <d v="2024-11-12T00:00:00"/>
    <x v="7"/>
    <x v="2"/>
    <x v="2"/>
    <n v="1"/>
    <n v="4500"/>
    <n v="4500"/>
    <s v="Low"/>
    <s v="Bank"/>
  </r>
  <r>
    <d v="2024-05-26T00:00:00"/>
    <x v="5"/>
    <x v="4"/>
    <x v="4"/>
    <n v="10"/>
    <n v="4500"/>
    <n v="45000"/>
    <s v="High"/>
    <s v="Bank"/>
  </r>
  <r>
    <d v="2024-06-02T00:00:00"/>
    <x v="4"/>
    <x v="3"/>
    <x v="2"/>
    <n v="6"/>
    <n v="8500"/>
    <n v="51000"/>
    <s v="High"/>
    <s v="Cash"/>
  </r>
  <r>
    <d v="2024-08-12T00:00:00"/>
    <x v="2"/>
    <x v="1"/>
    <x v="4"/>
    <n v="2"/>
    <n v="4500"/>
    <n v="9000"/>
    <s v="Low"/>
    <s v="Bank"/>
  </r>
  <r>
    <d v="2024-03-31T00:00:00"/>
    <x v="3"/>
    <x v="3"/>
    <x v="4"/>
    <n v="7"/>
    <n v="8500"/>
    <n v="59500"/>
    <s v="High"/>
    <s v="Cash"/>
  </r>
  <r>
    <d v="2024-10-23T00:00:00"/>
    <x v="1"/>
    <x v="2"/>
    <x v="3"/>
    <n v="1"/>
    <n v="8500"/>
    <n v="8500"/>
    <s v="Low"/>
    <s v="Mobile Money"/>
  </r>
  <r>
    <d v="2024-01-16T00:00:00"/>
    <x v="5"/>
    <x v="3"/>
    <x v="4"/>
    <n v="6"/>
    <n v="3200"/>
    <n v="19200"/>
    <s v="High"/>
    <s v="Bank"/>
  </r>
  <r>
    <d v="2024-01-08T00:00:00"/>
    <x v="6"/>
    <x v="3"/>
    <x v="2"/>
    <n v="5"/>
    <n v="8500"/>
    <n v="42500"/>
    <s v="High"/>
    <s v="Mobile Money"/>
  </r>
  <r>
    <d v="2024-03-21T00:00:00"/>
    <x v="0"/>
    <x v="1"/>
    <x v="0"/>
    <n v="9"/>
    <n v="4500"/>
    <n v="40500"/>
    <s v="High"/>
    <s v="Bank"/>
  </r>
  <r>
    <d v="2024-12-07T00:00:00"/>
    <x v="1"/>
    <x v="4"/>
    <x v="4"/>
    <n v="4"/>
    <n v="300"/>
    <n v="1200"/>
    <s v="Low"/>
    <s v="Cash"/>
  </r>
  <r>
    <d v="2024-12-09T00:00:00"/>
    <x v="0"/>
    <x v="0"/>
    <x v="4"/>
    <n v="3"/>
    <n v="8500"/>
    <n v="25500"/>
    <s v="High"/>
    <s v="Bank"/>
  </r>
  <r>
    <d v="2024-01-27T00:00:00"/>
    <x v="3"/>
    <x v="1"/>
    <x v="0"/>
    <n v="10"/>
    <n v="8500"/>
    <n v="85000"/>
    <s v="High"/>
    <s v="Bank"/>
  </r>
  <r>
    <d v="2024-01-13T00:00:00"/>
    <x v="6"/>
    <x v="1"/>
    <x v="0"/>
    <n v="4"/>
    <n v="300"/>
    <n v="1200"/>
    <s v="Low"/>
    <s v="Mobile Money"/>
  </r>
  <r>
    <d v="2024-09-09T00:00:00"/>
    <x v="3"/>
    <x v="2"/>
    <x v="4"/>
    <n v="2"/>
    <n v="300"/>
    <n v="600"/>
    <s v="Low"/>
    <s v="Cash"/>
  </r>
  <r>
    <d v="2024-12-07T00:00:00"/>
    <x v="6"/>
    <x v="2"/>
    <x v="2"/>
    <n v="1"/>
    <n v="8500"/>
    <n v="8500"/>
    <s v="Low"/>
    <s v="Cash"/>
  </r>
  <r>
    <d v="2024-08-24T00:00:00"/>
    <x v="5"/>
    <x v="2"/>
    <x v="0"/>
    <n v="8"/>
    <n v="4500"/>
    <n v="36000"/>
    <s v="High"/>
    <s v="Cash"/>
  </r>
  <r>
    <d v="2024-05-10T00:00:00"/>
    <x v="2"/>
    <x v="0"/>
    <x v="2"/>
    <n v="8"/>
    <n v="300"/>
    <n v="2400"/>
    <s v="Low"/>
    <s v="Mobile Money"/>
  </r>
  <r>
    <d v="2024-06-04T00:00:00"/>
    <x v="6"/>
    <x v="0"/>
    <x v="3"/>
    <n v="3"/>
    <n v="4500"/>
    <n v="13500"/>
    <s v="High"/>
    <s v="Cash"/>
  </r>
  <r>
    <d v="2024-09-03T00:00:00"/>
    <x v="5"/>
    <x v="0"/>
    <x v="4"/>
    <n v="9"/>
    <n v="3200"/>
    <n v="28800"/>
    <s v="High"/>
    <s v="Cash"/>
  </r>
  <r>
    <d v="2024-11-07T00:00:00"/>
    <x v="6"/>
    <x v="4"/>
    <x v="0"/>
    <n v="7"/>
    <n v="8500"/>
    <n v="59500"/>
    <s v="High"/>
    <s v="Bank"/>
  </r>
  <r>
    <d v="2024-08-19T00:00:00"/>
    <x v="0"/>
    <x v="3"/>
    <x v="4"/>
    <n v="5"/>
    <n v="300"/>
    <n v="1500"/>
    <s v="Low"/>
    <s v="Bank"/>
  </r>
  <r>
    <d v="2024-06-06T00:00:00"/>
    <x v="4"/>
    <x v="0"/>
    <x v="3"/>
    <n v="7"/>
    <n v="8500"/>
    <n v="59500"/>
    <s v="High"/>
    <s v="Mobile Money"/>
  </r>
  <r>
    <d v="2024-09-29T00:00:00"/>
    <x v="1"/>
    <x v="1"/>
    <x v="4"/>
    <n v="1"/>
    <n v="3200"/>
    <n v="3200"/>
    <s v="Low"/>
    <s v="Bank"/>
  </r>
  <r>
    <d v="2024-11-17T00:00:00"/>
    <x v="5"/>
    <x v="0"/>
    <x v="1"/>
    <n v="5"/>
    <n v="8500"/>
    <n v="42500"/>
    <s v="High"/>
    <s v="Cash"/>
  </r>
  <r>
    <d v="2024-04-06T00:00:00"/>
    <x v="6"/>
    <x v="3"/>
    <x v="0"/>
    <n v="9"/>
    <n v="150"/>
    <n v="1350"/>
    <s v="Low"/>
    <s v="Bank"/>
  </r>
  <r>
    <d v="2024-07-03T00:00:00"/>
    <x v="5"/>
    <x v="4"/>
    <x v="3"/>
    <n v="3"/>
    <n v="300"/>
    <n v="900"/>
    <s v="Low"/>
    <s v="Cash"/>
  </r>
  <r>
    <d v="2024-05-19T00:00:00"/>
    <x v="7"/>
    <x v="0"/>
    <x v="2"/>
    <n v="8"/>
    <n v="3200"/>
    <n v="25600"/>
    <s v="High"/>
    <s v="Cash"/>
  </r>
  <r>
    <d v="2024-10-08T00:00:00"/>
    <x v="7"/>
    <x v="2"/>
    <x v="3"/>
    <n v="1"/>
    <n v="4500"/>
    <n v="4500"/>
    <s v="Low"/>
    <s v="Bank"/>
  </r>
  <r>
    <d v="2024-07-25T00:00:00"/>
    <x v="0"/>
    <x v="2"/>
    <x v="3"/>
    <n v="9"/>
    <n v="3200"/>
    <n v="28800"/>
    <s v="High"/>
    <s v="Mobile Money"/>
  </r>
  <r>
    <d v="2024-08-21T00:00:00"/>
    <x v="7"/>
    <x v="2"/>
    <x v="2"/>
    <n v="7"/>
    <n v="3200"/>
    <n v="22400"/>
    <s v="High"/>
    <s v="Cash"/>
  </r>
  <r>
    <d v="2024-05-30T00:00:00"/>
    <x v="2"/>
    <x v="0"/>
    <x v="0"/>
    <n v="7"/>
    <n v="4500"/>
    <n v="31500"/>
    <s v="High"/>
    <s v="Cash"/>
  </r>
  <r>
    <d v="2024-08-27T00:00:00"/>
    <x v="2"/>
    <x v="2"/>
    <x v="1"/>
    <n v="1"/>
    <n v="300"/>
    <n v="300"/>
    <s v="Low"/>
    <s v="Cash"/>
  </r>
  <r>
    <d v="2024-06-18T00:00:00"/>
    <x v="0"/>
    <x v="2"/>
    <x v="3"/>
    <n v="9"/>
    <n v="150"/>
    <n v="1350"/>
    <s v="Low"/>
    <s v="Bank"/>
  </r>
  <r>
    <d v="2024-02-28T00:00:00"/>
    <x v="0"/>
    <x v="2"/>
    <x v="0"/>
    <n v="9"/>
    <n v="3200"/>
    <n v="28800"/>
    <s v="High"/>
    <s v="Mobile Money"/>
  </r>
  <r>
    <d v="2024-09-30T00:00:00"/>
    <x v="3"/>
    <x v="1"/>
    <x v="0"/>
    <n v="7"/>
    <n v="300"/>
    <n v="2100"/>
    <s v="Low"/>
    <s v="Mobile Money"/>
  </r>
  <r>
    <d v="2024-09-10T00:00:00"/>
    <x v="5"/>
    <x v="3"/>
    <x v="4"/>
    <n v="9"/>
    <n v="300"/>
    <n v="2700"/>
    <s v="Low"/>
    <s v="Mobile Money"/>
  </r>
  <r>
    <d v="2024-03-05T00:00:00"/>
    <x v="6"/>
    <x v="3"/>
    <x v="4"/>
    <n v="10"/>
    <n v="8500"/>
    <n v="85000"/>
    <s v="High"/>
    <s v="Mobile Money"/>
  </r>
  <r>
    <d v="2024-06-16T00:00:00"/>
    <x v="1"/>
    <x v="1"/>
    <x v="0"/>
    <n v="5"/>
    <n v="8500"/>
    <n v="42500"/>
    <s v="High"/>
    <s v="Bank"/>
  </r>
  <r>
    <d v="2024-03-07T00:00:00"/>
    <x v="1"/>
    <x v="2"/>
    <x v="3"/>
    <n v="5"/>
    <n v="300"/>
    <n v="1500"/>
    <s v="Low"/>
    <s v="Mobile Money"/>
  </r>
  <r>
    <d v="2024-04-09T00:00:00"/>
    <x v="6"/>
    <x v="0"/>
    <x v="0"/>
    <n v="4"/>
    <n v="3200"/>
    <n v="12800"/>
    <s v="High"/>
    <s v="Cash"/>
  </r>
  <r>
    <d v="2024-11-04T00:00:00"/>
    <x v="0"/>
    <x v="1"/>
    <x v="0"/>
    <n v="1"/>
    <n v="300"/>
    <n v="300"/>
    <s v="Low"/>
    <s v="Bank"/>
  </r>
  <r>
    <d v="2024-11-04T00:00:00"/>
    <x v="1"/>
    <x v="1"/>
    <x v="1"/>
    <n v="7"/>
    <n v="300"/>
    <n v="2100"/>
    <s v="Low"/>
    <s v="Bank"/>
  </r>
  <r>
    <d v="2024-08-21T00:00:00"/>
    <x v="5"/>
    <x v="3"/>
    <x v="3"/>
    <n v="7"/>
    <n v="150"/>
    <n v="1050"/>
    <s v="Low"/>
    <s v="Mobile Money"/>
  </r>
  <r>
    <d v="2024-07-31T00:00:00"/>
    <x v="6"/>
    <x v="3"/>
    <x v="0"/>
    <n v="8"/>
    <n v="3200"/>
    <n v="25600"/>
    <s v="High"/>
    <s v="Cash"/>
  </r>
  <r>
    <d v="2024-04-20T00:00:00"/>
    <x v="6"/>
    <x v="4"/>
    <x v="4"/>
    <n v="10"/>
    <n v="300"/>
    <n v="3000"/>
    <s v="Low"/>
    <s v="Bank"/>
  </r>
  <r>
    <d v="2024-04-08T00:00:00"/>
    <x v="7"/>
    <x v="2"/>
    <x v="0"/>
    <n v="6"/>
    <n v="8500"/>
    <n v="51000"/>
    <s v="High"/>
    <s v="Bank"/>
  </r>
  <r>
    <d v="2024-06-05T00:00:00"/>
    <x v="1"/>
    <x v="3"/>
    <x v="0"/>
    <n v="6"/>
    <n v="300"/>
    <n v="1800"/>
    <s v="Low"/>
    <s v="Cash"/>
  </r>
  <r>
    <d v="2024-10-12T00:00:00"/>
    <x v="3"/>
    <x v="3"/>
    <x v="2"/>
    <n v="8"/>
    <n v="300"/>
    <n v="2400"/>
    <s v="Low"/>
    <s v="Bank"/>
  </r>
  <r>
    <d v="2024-10-26T00:00:00"/>
    <x v="3"/>
    <x v="1"/>
    <x v="1"/>
    <n v="3"/>
    <n v="4500"/>
    <n v="13500"/>
    <s v="High"/>
    <s v="Mobile Money"/>
  </r>
  <r>
    <d v="2024-11-14T00:00:00"/>
    <x v="0"/>
    <x v="2"/>
    <x v="0"/>
    <n v="1"/>
    <n v="150"/>
    <n v="150"/>
    <s v="Low"/>
    <s v="Cash"/>
  </r>
  <r>
    <d v="2024-02-19T00:00:00"/>
    <x v="0"/>
    <x v="0"/>
    <x v="0"/>
    <n v="5"/>
    <n v="300"/>
    <n v="1500"/>
    <s v="Low"/>
    <s v="Cash"/>
  </r>
  <r>
    <d v="2024-03-17T00:00:00"/>
    <x v="7"/>
    <x v="1"/>
    <x v="0"/>
    <n v="5"/>
    <n v="300"/>
    <n v="1500"/>
    <s v="Low"/>
    <s v="Cash"/>
  </r>
  <r>
    <d v="2024-09-15T00:00:00"/>
    <x v="0"/>
    <x v="4"/>
    <x v="2"/>
    <n v="9"/>
    <n v="300"/>
    <n v="2700"/>
    <s v="Low"/>
    <s v="Bank"/>
  </r>
  <r>
    <d v="2024-01-27T00:00:00"/>
    <x v="0"/>
    <x v="4"/>
    <x v="1"/>
    <n v="4"/>
    <n v="4500"/>
    <n v="18000"/>
    <s v="High"/>
    <s v="Mobile Money"/>
  </r>
  <r>
    <d v="2024-02-10T00:00:00"/>
    <x v="5"/>
    <x v="1"/>
    <x v="3"/>
    <n v="10"/>
    <n v="150"/>
    <n v="1500"/>
    <s v="Low"/>
    <s v="Cash"/>
  </r>
  <r>
    <d v="2024-07-19T00:00:00"/>
    <x v="3"/>
    <x v="2"/>
    <x v="1"/>
    <n v="6"/>
    <n v="3200"/>
    <n v="19200"/>
    <s v="High"/>
    <s v="Mobile Money"/>
  </r>
  <r>
    <d v="2024-01-07T00:00:00"/>
    <x v="5"/>
    <x v="4"/>
    <x v="4"/>
    <n v="7"/>
    <n v="150"/>
    <n v="1050"/>
    <s v="Low"/>
    <s v="Bank"/>
  </r>
  <r>
    <d v="2024-05-07T00:00:00"/>
    <x v="1"/>
    <x v="4"/>
    <x v="2"/>
    <n v="10"/>
    <n v="8500"/>
    <n v="85000"/>
    <s v="High"/>
    <s v="Bank"/>
  </r>
  <r>
    <d v="2024-08-19T00:00:00"/>
    <x v="4"/>
    <x v="4"/>
    <x v="4"/>
    <n v="10"/>
    <n v="4500"/>
    <n v="45000"/>
    <s v="High"/>
    <s v="Cash"/>
  </r>
  <r>
    <d v="2024-09-08T00:00:00"/>
    <x v="3"/>
    <x v="4"/>
    <x v="3"/>
    <n v="10"/>
    <n v="8500"/>
    <n v="85000"/>
    <s v="High"/>
    <s v="Bank"/>
  </r>
  <r>
    <d v="2024-11-06T00:00:00"/>
    <x v="2"/>
    <x v="2"/>
    <x v="1"/>
    <n v="10"/>
    <n v="3200"/>
    <n v="32000"/>
    <s v="High"/>
    <s v="Bank"/>
  </r>
  <r>
    <d v="2024-05-14T00:00:00"/>
    <x v="5"/>
    <x v="4"/>
    <x v="2"/>
    <n v="1"/>
    <n v="150"/>
    <n v="150"/>
    <s v="Low"/>
    <s v="Bank"/>
  </r>
  <r>
    <d v="2024-02-04T00:00:00"/>
    <x v="1"/>
    <x v="2"/>
    <x v="2"/>
    <n v="7"/>
    <n v="4500"/>
    <n v="31500"/>
    <s v="High"/>
    <s v="Cash"/>
  </r>
  <r>
    <d v="2024-01-05T00:00:00"/>
    <x v="0"/>
    <x v="0"/>
    <x v="1"/>
    <n v="6"/>
    <n v="4500"/>
    <n v="27000"/>
    <s v="High"/>
    <s v="Bank"/>
  </r>
  <r>
    <d v="2024-04-12T00:00:00"/>
    <x v="6"/>
    <x v="3"/>
    <x v="4"/>
    <n v="5"/>
    <n v="150"/>
    <n v="750"/>
    <s v="Low"/>
    <s v="Bank"/>
  </r>
  <r>
    <d v="2024-07-26T00:00:00"/>
    <x v="3"/>
    <x v="2"/>
    <x v="3"/>
    <n v="1"/>
    <n v="8500"/>
    <n v="8500"/>
    <s v="Low"/>
    <s v="Bank"/>
  </r>
  <r>
    <d v="2024-03-05T00:00:00"/>
    <x v="4"/>
    <x v="3"/>
    <x v="1"/>
    <n v="7"/>
    <n v="3200"/>
    <n v="22400"/>
    <s v="High"/>
    <s v="Bank"/>
  </r>
  <r>
    <d v="2024-11-29T00:00:00"/>
    <x v="7"/>
    <x v="2"/>
    <x v="1"/>
    <n v="2"/>
    <n v="150"/>
    <n v="300"/>
    <s v="Low"/>
    <s v="Bank"/>
  </r>
  <r>
    <d v="2024-11-27T00:00:00"/>
    <x v="2"/>
    <x v="4"/>
    <x v="4"/>
    <n v="6"/>
    <n v="150"/>
    <n v="900"/>
    <s v="Low"/>
    <s v="Mobile Money"/>
  </r>
  <r>
    <d v="2024-01-08T00:00:00"/>
    <x v="0"/>
    <x v="2"/>
    <x v="2"/>
    <n v="6"/>
    <n v="8500"/>
    <n v="51000"/>
    <s v="High"/>
    <s v="Cash"/>
  </r>
  <r>
    <d v="2024-09-07T00:00:00"/>
    <x v="5"/>
    <x v="0"/>
    <x v="3"/>
    <n v="9"/>
    <n v="4500"/>
    <n v="40500"/>
    <s v="High"/>
    <s v="Cash"/>
  </r>
  <r>
    <d v="2024-12-27T00:00:00"/>
    <x v="6"/>
    <x v="2"/>
    <x v="3"/>
    <n v="6"/>
    <n v="3200"/>
    <n v="19200"/>
    <s v="High"/>
    <s v="Cash"/>
  </r>
  <r>
    <d v="2024-08-03T00:00:00"/>
    <x v="6"/>
    <x v="1"/>
    <x v="4"/>
    <n v="6"/>
    <n v="3200"/>
    <n v="19200"/>
    <s v="High"/>
    <s v="Cash"/>
  </r>
  <r>
    <d v="2024-01-30T00:00:00"/>
    <x v="0"/>
    <x v="2"/>
    <x v="3"/>
    <n v="1"/>
    <n v="8500"/>
    <n v="8500"/>
    <s v="Low"/>
    <s v="Cash"/>
  </r>
  <r>
    <d v="2024-03-15T00:00:00"/>
    <x v="2"/>
    <x v="2"/>
    <x v="1"/>
    <n v="10"/>
    <n v="3200"/>
    <n v="32000"/>
    <s v="High"/>
    <s v="Mobile Money"/>
  </r>
  <r>
    <d v="2024-10-31T00:00:00"/>
    <x v="6"/>
    <x v="4"/>
    <x v="0"/>
    <n v="8"/>
    <n v="150"/>
    <n v="1200"/>
    <s v="Low"/>
    <s v="Bank"/>
  </r>
  <r>
    <d v="2024-01-24T00:00:00"/>
    <x v="0"/>
    <x v="3"/>
    <x v="4"/>
    <n v="3"/>
    <n v="300"/>
    <n v="900"/>
    <s v="Low"/>
    <s v="Cash"/>
  </r>
  <r>
    <d v="2024-10-18T00:00:00"/>
    <x v="7"/>
    <x v="0"/>
    <x v="1"/>
    <n v="8"/>
    <n v="8500"/>
    <n v="68000"/>
    <s v="High"/>
    <s v="Bank"/>
  </r>
  <r>
    <d v="2024-02-07T00:00:00"/>
    <x v="7"/>
    <x v="4"/>
    <x v="4"/>
    <n v="10"/>
    <n v="150"/>
    <n v="1500"/>
    <s v="Low"/>
    <s v="Mobile Money"/>
  </r>
  <r>
    <d v="2024-09-17T00:00:00"/>
    <x v="4"/>
    <x v="4"/>
    <x v="2"/>
    <n v="2"/>
    <n v="8500"/>
    <n v="17000"/>
    <s v="High"/>
    <s v="Cash"/>
  </r>
  <r>
    <d v="2024-06-16T00:00:00"/>
    <x v="6"/>
    <x v="1"/>
    <x v="2"/>
    <n v="6"/>
    <n v="4500"/>
    <n v="27000"/>
    <s v="High"/>
    <s v="Bank"/>
  </r>
  <r>
    <d v="2024-12-02T00:00:00"/>
    <x v="2"/>
    <x v="0"/>
    <x v="3"/>
    <n v="4"/>
    <n v="4500"/>
    <n v="18000"/>
    <s v="High"/>
    <s v="Bank"/>
  </r>
  <r>
    <d v="2024-02-13T00:00:00"/>
    <x v="4"/>
    <x v="2"/>
    <x v="3"/>
    <n v="2"/>
    <n v="3200"/>
    <n v="6400"/>
    <s v="Low"/>
    <s v="Cash"/>
  </r>
  <r>
    <d v="2024-09-02T00:00:00"/>
    <x v="2"/>
    <x v="1"/>
    <x v="4"/>
    <n v="9"/>
    <n v="3200"/>
    <n v="28800"/>
    <s v="High"/>
    <s v="Mobile Money"/>
  </r>
  <r>
    <d v="2024-05-07T00:00:00"/>
    <x v="5"/>
    <x v="1"/>
    <x v="2"/>
    <n v="3"/>
    <n v="8500"/>
    <n v="25500"/>
    <s v="High"/>
    <s v="Bank"/>
  </r>
  <r>
    <d v="2024-09-27T00:00:00"/>
    <x v="0"/>
    <x v="2"/>
    <x v="2"/>
    <n v="5"/>
    <n v="4500"/>
    <n v="22500"/>
    <s v="High"/>
    <s v="Mobile Money"/>
  </r>
  <r>
    <d v="2024-09-02T00:00:00"/>
    <x v="2"/>
    <x v="4"/>
    <x v="1"/>
    <n v="10"/>
    <n v="4500"/>
    <n v="45000"/>
    <s v="High"/>
    <s v="Mobile Money"/>
  </r>
  <r>
    <d v="2024-03-28T00:00:00"/>
    <x v="1"/>
    <x v="3"/>
    <x v="3"/>
    <n v="5"/>
    <n v="150"/>
    <n v="750"/>
    <s v="Low"/>
    <s v="Bank"/>
  </r>
  <r>
    <d v="2024-05-17T00:00:00"/>
    <x v="1"/>
    <x v="4"/>
    <x v="2"/>
    <n v="7"/>
    <n v="3200"/>
    <n v="22400"/>
    <s v="High"/>
    <s v="Mobile Money"/>
  </r>
  <r>
    <d v="2024-01-26T00:00:00"/>
    <x v="7"/>
    <x v="0"/>
    <x v="2"/>
    <n v="1"/>
    <n v="4500"/>
    <n v="4500"/>
    <s v="Low"/>
    <s v="Mobile Money"/>
  </r>
  <r>
    <d v="2024-11-23T00:00:00"/>
    <x v="0"/>
    <x v="1"/>
    <x v="2"/>
    <n v="9"/>
    <n v="4500"/>
    <n v="40500"/>
    <s v="High"/>
    <s v="Mobile Money"/>
  </r>
  <r>
    <d v="2024-05-14T00:00:00"/>
    <x v="4"/>
    <x v="0"/>
    <x v="1"/>
    <n v="8"/>
    <n v="4500"/>
    <n v="36000"/>
    <s v="High"/>
    <s v="Mobile Money"/>
  </r>
  <r>
    <d v="2024-04-28T00:00:00"/>
    <x v="7"/>
    <x v="4"/>
    <x v="0"/>
    <n v="3"/>
    <n v="150"/>
    <n v="450"/>
    <s v="Low"/>
    <s v="Cash"/>
  </r>
  <r>
    <d v="2024-04-03T00:00:00"/>
    <x v="6"/>
    <x v="1"/>
    <x v="1"/>
    <n v="1"/>
    <n v="300"/>
    <n v="300"/>
    <s v="Low"/>
    <s v="Bank"/>
  </r>
  <r>
    <d v="2024-10-01T00:00:00"/>
    <x v="5"/>
    <x v="2"/>
    <x v="3"/>
    <n v="6"/>
    <n v="150"/>
    <n v="900"/>
    <s v="Low"/>
    <s v="Bank"/>
  </r>
  <r>
    <d v="2024-04-03T00:00:00"/>
    <x v="2"/>
    <x v="2"/>
    <x v="1"/>
    <n v="8"/>
    <n v="3200"/>
    <n v="25600"/>
    <s v="High"/>
    <s v="Cash"/>
  </r>
  <r>
    <d v="2024-04-01T00:00:00"/>
    <x v="0"/>
    <x v="2"/>
    <x v="4"/>
    <n v="3"/>
    <n v="150"/>
    <n v="450"/>
    <s v="Low"/>
    <s v="Cash"/>
  </r>
  <r>
    <d v="2024-06-26T00:00:00"/>
    <x v="6"/>
    <x v="2"/>
    <x v="4"/>
    <n v="3"/>
    <n v="8500"/>
    <n v="25500"/>
    <s v="High"/>
    <s v="Mobile Money"/>
  </r>
  <r>
    <d v="2024-08-20T00:00:00"/>
    <x v="4"/>
    <x v="3"/>
    <x v="2"/>
    <n v="1"/>
    <n v="8500"/>
    <n v="8500"/>
    <s v="Low"/>
    <s v="Bank"/>
  </r>
  <r>
    <d v="2024-07-20T00:00:00"/>
    <x v="2"/>
    <x v="2"/>
    <x v="4"/>
    <n v="10"/>
    <n v="4500"/>
    <n v="45000"/>
    <s v="High"/>
    <s v="Mobile Money"/>
  </r>
  <r>
    <d v="2024-02-23T00:00:00"/>
    <x v="2"/>
    <x v="4"/>
    <x v="2"/>
    <n v="7"/>
    <n v="8500"/>
    <n v="59500"/>
    <s v="High"/>
    <s v="Bank"/>
  </r>
  <r>
    <d v="2024-06-24T00:00:00"/>
    <x v="1"/>
    <x v="0"/>
    <x v="3"/>
    <n v="8"/>
    <n v="4500"/>
    <n v="36000"/>
    <s v="High"/>
    <s v="Bank"/>
  </r>
  <r>
    <d v="2024-09-15T00:00:00"/>
    <x v="2"/>
    <x v="2"/>
    <x v="4"/>
    <n v="10"/>
    <n v="3200"/>
    <n v="32000"/>
    <s v="High"/>
    <s v="Cash"/>
  </r>
  <r>
    <d v="2024-09-04T00:00:00"/>
    <x v="0"/>
    <x v="0"/>
    <x v="0"/>
    <n v="2"/>
    <n v="8500"/>
    <n v="17000"/>
    <s v="High"/>
    <s v="Bank"/>
  </r>
  <r>
    <d v="2024-04-29T00:00:00"/>
    <x v="4"/>
    <x v="2"/>
    <x v="4"/>
    <n v="7"/>
    <n v="300"/>
    <n v="2100"/>
    <s v="Low"/>
    <s v="Bank"/>
  </r>
  <r>
    <d v="2024-08-04T00:00:00"/>
    <x v="7"/>
    <x v="0"/>
    <x v="0"/>
    <n v="3"/>
    <n v="8500"/>
    <n v="25500"/>
    <s v="High"/>
    <s v="Bank"/>
  </r>
  <r>
    <d v="2024-09-01T00:00:00"/>
    <x v="5"/>
    <x v="0"/>
    <x v="4"/>
    <n v="9"/>
    <n v="300"/>
    <n v="2700"/>
    <s v="Low"/>
    <s v="Cash"/>
  </r>
  <r>
    <d v="2024-09-09T00:00:00"/>
    <x v="7"/>
    <x v="4"/>
    <x v="1"/>
    <n v="9"/>
    <n v="8500"/>
    <n v="76500"/>
    <s v="High"/>
    <s v="Mobile Money"/>
  </r>
  <r>
    <d v="2024-12-26T00:00:00"/>
    <x v="7"/>
    <x v="1"/>
    <x v="3"/>
    <n v="2"/>
    <n v="150"/>
    <n v="300"/>
    <s v="Low"/>
    <s v="Cash"/>
  </r>
  <r>
    <d v="2024-01-11T00:00:00"/>
    <x v="4"/>
    <x v="1"/>
    <x v="3"/>
    <n v="8"/>
    <n v="3200"/>
    <n v="25600"/>
    <s v="High"/>
    <s v="Cash"/>
  </r>
  <r>
    <d v="2024-05-07T00:00:00"/>
    <x v="3"/>
    <x v="1"/>
    <x v="1"/>
    <n v="10"/>
    <n v="3200"/>
    <n v="32000"/>
    <s v="High"/>
    <s v="Bank"/>
  </r>
  <r>
    <d v="2024-07-04T00:00:00"/>
    <x v="3"/>
    <x v="2"/>
    <x v="3"/>
    <n v="7"/>
    <n v="150"/>
    <n v="1050"/>
    <s v="Low"/>
    <s v="Cash"/>
  </r>
  <r>
    <d v="2024-01-05T00:00:00"/>
    <x v="2"/>
    <x v="3"/>
    <x v="2"/>
    <n v="3"/>
    <n v="3200"/>
    <n v="9600"/>
    <s v="Low"/>
    <s v="Cash"/>
  </r>
  <r>
    <d v="2024-01-08T00:00:00"/>
    <x v="7"/>
    <x v="0"/>
    <x v="2"/>
    <n v="2"/>
    <n v="4500"/>
    <n v="9000"/>
    <s v="Low"/>
    <s v="Mobile Money"/>
  </r>
  <r>
    <d v="2024-11-30T00:00:00"/>
    <x v="1"/>
    <x v="0"/>
    <x v="4"/>
    <n v="3"/>
    <n v="4500"/>
    <n v="13500"/>
    <s v="High"/>
    <s v="Bank"/>
  </r>
  <r>
    <d v="2024-07-20T00:00:00"/>
    <x v="6"/>
    <x v="4"/>
    <x v="4"/>
    <n v="1"/>
    <n v="8500"/>
    <n v="8500"/>
    <s v="Low"/>
    <s v="Cash"/>
  </r>
  <r>
    <d v="2024-04-18T00:00:00"/>
    <x v="5"/>
    <x v="0"/>
    <x v="3"/>
    <n v="1"/>
    <n v="8500"/>
    <n v="8500"/>
    <s v="Low"/>
    <s v="Mobile Money"/>
  </r>
  <r>
    <d v="2024-02-18T00:00:00"/>
    <x v="5"/>
    <x v="1"/>
    <x v="1"/>
    <n v="4"/>
    <n v="3200"/>
    <n v="12800"/>
    <s v="High"/>
    <s v="Bank"/>
  </r>
  <r>
    <d v="2024-03-13T00:00:00"/>
    <x v="7"/>
    <x v="2"/>
    <x v="4"/>
    <n v="6"/>
    <n v="150"/>
    <n v="900"/>
    <s v="Low"/>
    <s v="Cash"/>
  </r>
  <r>
    <d v="2024-07-27T00:00:00"/>
    <x v="3"/>
    <x v="3"/>
    <x v="3"/>
    <n v="4"/>
    <n v="8500"/>
    <n v="34000"/>
    <s v="High"/>
    <s v="Mobile Money"/>
  </r>
  <r>
    <d v="2024-09-29T00:00:00"/>
    <x v="5"/>
    <x v="0"/>
    <x v="0"/>
    <n v="3"/>
    <n v="3200"/>
    <n v="9600"/>
    <s v="Low"/>
    <s v="Mobile Money"/>
  </r>
  <r>
    <d v="2024-11-23T00:00:00"/>
    <x v="4"/>
    <x v="0"/>
    <x v="2"/>
    <n v="7"/>
    <n v="300"/>
    <n v="2100"/>
    <s v="Low"/>
    <s v="Bank"/>
  </r>
  <r>
    <d v="2024-10-07T00:00:00"/>
    <x v="3"/>
    <x v="2"/>
    <x v="1"/>
    <n v="6"/>
    <n v="4500"/>
    <n v="27000"/>
    <s v="High"/>
    <s v="Cash"/>
  </r>
  <r>
    <d v="2024-11-16T00:00:00"/>
    <x v="7"/>
    <x v="2"/>
    <x v="2"/>
    <n v="4"/>
    <n v="150"/>
    <n v="600"/>
    <s v="Low"/>
    <s v="Cash"/>
  </r>
  <r>
    <d v="2024-08-01T00:00:00"/>
    <x v="7"/>
    <x v="4"/>
    <x v="0"/>
    <n v="1"/>
    <n v="4500"/>
    <n v="4500"/>
    <s v="Low"/>
    <s v="Bank"/>
  </r>
  <r>
    <d v="2024-09-22T00:00:00"/>
    <x v="6"/>
    <x v="4"/>
    <x v="1"/>
    <n v="1"/>
    <n v="300"/>
    <n v="300"/>
    <s v="Low"/>
    <s v="Mobile Money"/>
  </r>
  <r>
    <d v="2024-10-26T00:00:00"/>
    <x v="7"/>
    <x v="0"/>
    <x v="4"/>
    <n v="5"/>
    <n v="150"/>
    <n v="750"/>
    <s v="Low"/>
    <s v="Bank"/>
  </r>
  <r>
    <d v="2024-02-23T00:00:00"/>
    <x v="2"/>
    <x v="1"/>
    <x v="4"/>
    <n v="10"/>
    <n v="8500"/>
    <n v="85000"/>
    <s v="High"/>
    <s v="Cash"/>
  </r>
  <r>
    <d v="2024-03-09T00:00:00"/>
    <x v="7"/>
    <x v="3"/>
    <x v="4"/>
    <n v="4"/>
    <n v="8500"/>
    <n v="34000"/>
    <s v="High"/>
    <s v="Bank"/>
  </r>
  <r>
    <d v="2024-05-21T00:00:00"/>
    <x v="7"/>
    <x v="3"/>
    <x v="4"/>
    <n v="4"/>
    <n v="8500"/>
    <n v="34000"/>
    <s v="High"/>
    <s v="Bank"/>
  </r>
  <r>
    <d v="2024-04-26T00:00:00"/>
    <x v="0"/>
    <x v="4"/>
    <x v="0"/>
    <n v="3"/>
    <n v="8500"/>
    <n v="25500"/>
    <s v="High"/>
    <s v="Mobile Money"/>
  </r>
  <r>
    <d v="2024-05-07T00:00:00"/>
    <x v="4"/>
    <x v="2"/>
    <x v="0"/>
    <n v="6"/>
    <n v="300"/>
    <n v="1800"/>
    <s v="Low"/>
    <s v="Mobile Money"/>
  </r>
  <r>
    <d v="2024-03-23T00:00:00"/>
    <x v="4"/>
    <x v="4"/>
    <x v="2"/>
    <n v="5"/>
    <n v="300"/>
    <n v="1500"/>
    <s v="Low"/>
    <s v="Cash"/>
  </r>
  <r>
    <d v="2024-12-01T00:00:00"/>
    <x v="4"/>
    <x v="2"/>
    <x v="0"/>
    <n v="7"/>
    <n v="4500"/>
    <n v="31500"/>
    <s v="High"/>
    <s v="Mobile Money"/>
  </r>
  <r>
    <d v="2024-06-28T00:00:00"/>
    <x v="7"/>
    <x v="2"/>
    <x v="1"/>
    <n v="7"/>
    <n v="300"/>
    <n v="2100"/>
    <s v="Low"/>
    <s v="Bank"/>
  </r>
  <r>
    <d v="2024-09-14T00:00:00"/>
    <x v="5"/>
    <x v="4"/>
    <x v="1"/>
    <n v="3"/>
    <n v="150"/>
    <n v="450"/>
    <s v="Low"/>
    <s v="Cash"/>
  </r>
  <r>
    <d v="2024-12-10T00:00:00"/>
    <x v="4"/>
    <x v="2"/>
    <x v="0"/>
    <n v="4"/>
    <n v="150"/>
    <n v="600"/>
    <s v="Low"/>
    <s v="Bank"/>
  </r>
  <r>
    <d v="2024-08-24T00:00:00"/>
    <x v="6"/>
    <x v="1"/>
    <x v="0"/>
    <n v="5"/>
    <n v="300"/>
    <n v="1500"/>
    <s v="Low"/>
    <s v="Cash"/>
  </r>
  <r>
    <d v="2024-12-04T00:00:00"/>
    <x v="7"/>
    <x v="0"/>
    <x v="4"/>
    <n v="8"/>
    <n v="300"/>
    <n v="2400"/>
    <s v="Low"/>
    <s v="Mobile Money"/>
  </r>
  <r>
    <d v="2024-12-05T00:00:00"/>
    <x v="0"/>
    <x v="0"/>
    <x v="0"/>
    <n v="1"/>
    <n v="8500"/>
    <n v="8500"/>
    <s v="Low"/>
    <s v="Mobile Money"/>
  </r>
  <r>
    <d v="2024-02-21T00:00:00"/>
    <x v="0"/>
    <x v="0"/>
    <x v="0"/>
    <n v="3"/>
    <n v="300"/>
    <n v="900"/>
    <s v="Low"/>
    <s v="Bank"/>
  </r>
  <r>
    <d v="2024-08-18T00:00:00"/>
    <x v="0"/>
    <x v="3"/>
    <x v="4"/>
    <n v="7"/>
    <n v="300"/>
    <n v="2100"/>
    <s v="Low"/>
    <s v="Bank"/>
  </r>
  <r>
    <d v="2024-03-02T00:00:00"/>
    <x v="2"/>
    <x v="0"/>
    <x v="1"/>
    <n v="8"/>
    <n v="8500"/>
    <n v="68000"/>
    <s v="High"/>
    <s v="Bank"/>
  </r>
  <r>
    <d v="2024-12-31T00:00:00"/>
    <x v="5"/>
    <x v="4"/>
    <x v="0"/>
    <n v="10"/>
    <n v="150"/>
    <n v="1500"/>
    <s v="Low"/>
    <s v="Cash"/>
  </r>
  <r>
    <d v="2024-05-17T00:00:00"/>
    <x v="0"/>
    <x v="4"/>
    <x v="0"/>
    <n v="10"/>
    <n v="300"/>
    <n v="3000"/>
    <s v="Low"/>
    <s v="Bank"/>
  </r>
  <r>
    <d v="2024-07-05T00:00:00"/>
    <x v="6"/>
    <x v="1"/>
    <x v="2"/>
    <n v="3"/>
    <n v="300"/>
    <n v="900"/>
    <s v="Low"/>
    <s v="Cash"/>
  </r>
  <r>
    <d v="2024-05-31T00:00:00"/>
    <x v="3"/>
    <x v="3"/>
    <x v="0"/>
    <n v="4"/>
    <n v="4500"/>
    <n v="18000"/>
    <s v="High"/>
    <s v="Mobile Money"/>
  </r>
  <r>
    <d v="2024-08-30T00:00:00"/>
    <x v="3"/>
    <x v="2"/>
    <x v="4"/>
    <n v="2"/>
    <n v="300"/>
    <n v="600"/>
    <s v="Low"/>
    <s v="Bank"/>
  </r>
  <r>
    <d v="2024-05-02T00:00:00"/>
    <x v="7"/>
    <x v="3"/>
    <x v="2"/>
    <n v="2"/>
    <n v="8500"/>
    <n v="17000"/>
    <s v="High"/>
    <s v="Bank"/>
  </r>
  <r>
    <d v="2024-03-26T00:00:00"/>
    <x v="3"/>
    <x v="3"/>
    <x v="3"/>
    <n v="3"/>
    <n v="4500"/>
    <n v="13500"/>
    <s v="High"/>
    <s v="Cash"/>
  </r>
  <r>
    <d v="2024-05-10T00:00:00"/>
    <x v="7"/>
    <x v="3"/>
    <x v="0"/>
    <n v="6"/>
    <n v="3200"/>
    <n v="19200"/>
    <s v="High"/>
    <s v="Cash"/>
  </r>
  <r>
    <d v="2024-12-03T00:00:00"/>
    <x v="3"/>
    <x v="0"/>
    <x v="4"/>
    <n v="5"/>
    <n v="300"/>
    <n v="1500"/>
    <s v="Low"/>
    <s v="Mobile Money"/>
  </r>
  <r>
    <d v="2024-04-06T00:00:00"/>
    <x v="0"/>
    <x v="2"/>
    <x v="4"/>
    <n v="4"/>
    <n v="8500"/>
    <n v="34000"/>
    <s v="High"/>
    <s v="Mobile Money"/>
  </r>
  <r>
    <d v="2024-03-06T00:00:00"/>
    <x v="6"/>
    <x v="4"/>
    <x v="0"/>
    <n v="5"/>
    <n v="8500"/>
    <n v="42500"/>
    <s v="High"/>
    <s v="Cash"/>
  </r>
  <r>
    <d v="2024-10-28T00:00:00"/>
    <x v="5"/>
    <x v="1"/>
    <x v="2"/>
    <n v="8"/>
    <n v="300"/>
    <n v="2400"/>
    <s v="Low"/>
    <s v="Bank"/>
  </r>
  <r>
    <d v="2024-07-16T00:00:00"/>
    <x v="2"/>
    <x v="0"/>
    <x v="4"/>
    <n v="6"/>
    <n v="4500"/>
    <n v="27000"/>
    <s v="High"/>
    <s v="Mobile Money"/>
  </r>
  <r>
    <d v="2024-11-28T00:00:00"/>
    <x v="0"/>
    <x v="4"/>
    <x v="0"/>
    <n v="10"/>
    <n v="8500"/>
    <n v="85000"/>
    <s v="High"/>
    <s v="Cash"/>
  </r>
  <r>
    <d v="2024-02-13T00:00:00"/>
    <x v="4"/>
    <x v="2"/>
    <x v="3"/>
    <n v="4"/>
    <n v="300"/>
    <n v="1200"/>
    <s v="Low"/>
    <s v="Bank"/>
  </r>
  <r>
    <d v="2024-01-31T00:00:00"/>
    <x v="6"/>
    <x v="1"/>
    <x v="1"/>
    <n v="7"/>
    <n v="3200"/>
    <n v="22400"/>
    <s v="High"/>
    <s v="Bank"/>
  </r>
  <r>
    <d v="2024-08-29T00:00:00"/>
    <x v="3"/>
    <x v="4"/>
    <x v="3"/>
    <n v="5"/>
    <n v="150"/>
    <n v="750"/>
    <s v="Low"/>
    <s v="Bank"/>
  </r>
  <r>
    <d v="2024-07-03T00:00:00"/>
    <x v="5"/>
    <x v="2"/>
    <x v="1"/>
    <n v="5"/>
    <n v="3200"/>
    <n v="16000"/>
    <s v="High"/>
    <s v="Cash"/>
  </r>
  <r>
    <d v="2024-02-22T00:00:00"/>
    <x v="4"/>
    <x v="4"/>
    <x v="1"/>
    <n v="7"/>
    <n v="150"/>
    <n v="1050"/>
    <s v="Low"/>
    <s v="Bank"/>
  </r>
  <r>
    <d v="2024-01-14T00:00:00"/>
    <x v="1"/>
    <x v="1"/>
    <x v="1"/>
    <n v="2"/>
    <n v="150"/>
    <n v="300"/>
    <s v="Low"/>
    <s v="Bank"/>
  </r>
  <r>
    <d v="2024-01-09T00:00:00"/>
    <x v="4"/>
    <x v="3"/>
    <x v="3"/>
    <n v="7"/>
    <n v="150"/>
    <n v="1050"/>
    <s v="Low"/>
    <s v="Bank"/>
  </r>
  <r>
    <d v="2024-08-06T00:00:00"/>
    <x v="1"/>
    <x v="1"/>
    <x v="3"/>
    <n v="2"/>
    <n v="3200"/>
    <n v="6400"/>
    <s v="Low"/>
    <s v="Cash"/>
  </r>
  <r>
    <d v="2024-08-31T00:00:00"/>
    <x v="2"/>
    <x v="3"/>
    <x v="2"/>
    <n v="6"/>
    <n v="3200"/>
    <n v="19200"/>
    <s v="High"/>
    <s v="Mobile Money"/>
  </r>
  <r>
    <d v="2024-11-10T00:00:00"/>
    <x v="1"/>
    <x v="1"/>
    <x v="2"/>
    <n v="7"/>
    <n v="4500"/>
    <n v="31500"/>
    <s v="High"/>
    <s v="Cash"/>
  </r>
  <r>
    <d v="2024-11-19T00:00:00"/>
    <x v="3"/>
    <x v="0"/>
    <x v="1"/>
    <n v="7"/>
    <n v="4500"/>
    <n v="31500"/>
    <s v="High"/>
    <s v="Bank"/>
  </r>
  <r>
    <d v="2024-11-18T00:00:00"/>
    <x v="5"/>
    <x v="3"/>
    <x v="4"/>
    <n v="7"/>
    <n v="150"/>
    <n v="1050"/>
    <s v="Low"/>
    <s v="Mobile Money"/>
  </r>
  <r>
    <d v="2024-03-08T00:00:00"/>
    <x v="5"/>
    <x v="3"/>
    <x v="4"/>
    <n v="6"/>
    <n v="8500"/>
    <n v="51000"/>
    <s v="High"/>
    <s v="Cash"/>
  </r>
  <r>
    <d v="2024-02-29T00:00:00"/>
    <x v="0"/>
    <x v="1"/>
    <x v="1"/>
    <n v="10"/>
    <n v="8500"/>
    <n v="85000"/>
    <s v="High"/>
    <s v="Bank"/>
  </r>
  <r>
    <d v="2024-09-12T00:00:00"/>
    <x v="1"/>
    <x v="4"/>
    <x v="0"/>
    <n v="6"/>
    <n v="150"/>
    <n v="900"/>
    <s v="Low"/>
    <s v="Mobile Money"/>
  </r>
  <r>
    <d v="2024-04-08T00:00:00"/>
    <x v="1"/>
    <x v="4"/>
    <x v="3"/>
    <n v="6"/>
    <n v="300"/>
    <n v="1800"/>
    <s v="Low"/>
    <s v="Cash"/>
  </r>
  <r>
    <d v="2024-11-09T00:00:00"/>
    <x v="1"/>
    <x v="4"/>
    <x v="3"/>
    <n v="3"/>
    <n v="3200"/>
    <n v="9600"/>
    <s v="Low"/>
    <s v="Cash"/>
  </r>
  <r>
    <d v="2024-04-11T00:00:00"/>
    <x v="5"/>
    <x v="2"/>
    <x v="3"/>
    <n v="7"/>
    <n v="3200"/>
    <n v="22400"/>
    <s v="High"/>
    <s v="Mobile Money"/>
  </r>
  <r>
    <d v="2024-09-07T00:00:00"/>
    <x v="5"/>
    <x v="3"/>
    <x v="0"/>
    <n v="4"/>
    <n v="3200"/>
    <n v="12800"/>
    <s v="High"/>
    <s v="Cash"/>
  </r>
  <r>
    <d v="2024-07-08T00:00:00"/>
    <x v="3"/>
    <x v="1"/>
    <x v="4"/>
    <n v="5"/>
    <n v="300"/>
    <n v="1500"/>
    <s v="Low"/>
    <s v="Mobile Money"/>
  </r>
  <r>
    <d v="2024-02-04T00:00:00"/>
    <x v="1"/>
    <x v="1"/>
    <x v="3"/>
    <n v="10"/>
    <n v="8500"/>
    <n v="85000"/>
    <s v="High"/>
    <s v="Cash"/>
  </r>
  <r>
    <d v="2024-07-02T00:00:00"/>
    <x v="1"/>
    <x v="4"/>
    <x v="4"/>
    <n v="10"/>
    <n v="3200"/>
    <n v="32000"/>
    <s v="High"/>
    <s v="Cash"/>
  </r>
  <r>
    <d v="2024-01-26T00:00:00"/>
    <x v="4"/>
    <x v="1"/>
    <x v="2"/>
    <n v="9"/>
    <n v="8500"/>
    <n v="76500"/>
    <s v="High"/>
    <s v="Cash"/>
  </r>
  <r>
    <d v="2024-01-12T00:00:00"/>
    <x v="7"/>
    <x v="1"/>
    <x v="0"/>
    <n v="9"/>
    <n v="4500"/>
    <n v="40500"/>
    <s v="High"/>
    <s v="Mobile Money"/>
  </r>
  <r>
    <d v="2024-11-28T00:00:00"/>
    <x v="6"/>
    <x v="0"/>
    <x v="0"/>
    <n v="4"/>
    <n v="300"/>
    <n v="1200"/>
    <s v="Low"/>
    <s v="Mobile Money"/>
  </r>
  <r>
    <d v="2024-01-19T00:00:00"/>
    <x v="1"/>
    <x v="3"/>
    <x v="0"/>
    <n v="5"/>
    <n v="300"/>
    <n v="1500"/>
    <s v="Low"/>
    <s v="Bank"/>
  </r>
  <r>
    <d v="2024-09-17T00:00:00"/>
    <x v="7"/>
    <x v="2"/>
    <x v="3"/>
    <n v="10"/>
    <n v="300"/>
    <n v="3000"/>
    <s v="Low"/>
    <s v="Mobile Money"/>
  </r>
  <r>
    <d v="2024-06-23T00:00:00"/>
    <x v="3"/>
    <x v="4"/>
    <x v="2"/>
    <n v="10"/>
    <n v="3200"/>
    <n v="32000"/>
    <s v="High"/>
    <s v="Cash"/>
  </r>
  <r>
    <d v="2024-11-10T00:00:00"/>
    <x v="3"/>
    <x v="2"/>
    <x v="3"/>
    <n v="2"/>
    <n v="4500"/>
    <n v="9000"/>
    <s v="Low"/>
    <s v="Cash"/>
  </r>
  <r>
    <d v="2024-06-10T00:00:00"/>
    <x v="7"/>
    <x v="1"/>
    <x v="1"/>
    <n v="2"/>
    <n v="3200"/>
    <n v="6400"/>
    <s v="Low"/>
    <s v="Bank"/>
  </r>
  <r>
    <d v="2024-04-02T00:00:00"/>
    <x v="3"/>
    <x v="3"/>
    <x v="2"/>
    <n v="6"/>
    <n v="150"/>
    <n v="900"/>
    <s v="Low"/>
    <s v="Cash"/>
  </r>
  <r>
    <d v="2024-12-28T00:00:00"/>
    <x v="0"/>
    <x v="3"/>
    <x v="3"/>
    <n v="1"/>
    <n v="4500"/>
    <n v="4500"/>
    <s v="Low"/>
    <s v="Cash"/>
  </r>
  <r>
    <d v="2024-11-02T00:00:00"/>
    <x v="5"/>
    <x v="3"/>
    <x v="0"/>
    <n v="5"/>
    <n v="3200"/>
    <n v="16000"/>
    <s v="High"/>
    <s v="Cash"/>
  </r>
  <r>
    <d v="2024-03-03T00:00:00"/>
    <x v="2"/>
    <x v="4"/>
    <x v="1"/>
    <n v="3"/>
    <n v="300"/>
    <n v="900"/>
    <s v="Low"/>
    <s v="Mobile Money"/>
  </r>
  <r>
    <d v="2024-03-02T00:00:00"/>
    <x v="2"/>
    <x v="4"/>
    <x v="4"/>
    <n v="9"/>
    <n v="150"/>
    <n v="1350"/>
    <s v="Low"/>
    <s v="Cash"/>
  </r>
  <r>
    <d v="2024-06-22T00:00:00"/>
    <x v="5"/>
    <x v="3"/>
    <x v="2"/>
    <n v="3"/>
    <n v="8500"/>
    <n v="25500"/>
    <s v="High"/>
    <s v="Mobile Money"/>
  </r>
  <r>
    <d v="2024-09-30T00:00:00"/>
    <x v="6"/>
    <x v="3"/>
    <x v="2"/>
    <n v="4"/>
    <n v="4500"/>
    <n v="18000"/>
    <s v="High"/>
    <s v="Bank"/>
  </r>
  <r>
    <d v="2024-03-08T00:00:00"/>
    <x v="6"/>
    <x v="4"/>
    <x v="0"/>
    <n v="8"/>
    <n v="4500"/>
    <n v="36000"/>
    <s v="High"/>
    <s v="Bank"/>
  </r>
  <r>
    <d v="2024-02-10T00:00:00"/>
    <x v="3"/>
    <x v="2"/>
    <x v="3"/>
    <n v="8"/>
    <n v="300"/>
    <n v="2400"/>
    <s v="Low"/>
    <s v="Mobile Money"/>
  </r>
  <r>
    <d v="2024-06-28T00:00:00"/>
    <x v="3"/>
    <x v="4"/>
    <x v="1"/>
    <n v="2"/>
    <n v="3200"/>
    <n v="6400"/>
    <s v="Low"/>
    <s v="Bank"/>
  </r>
  <r>
    <d v="2024-11-23T00:00:00"/>
    <x v="7"/>
    <x v="0"/>
    <x v="2"/>
    <n v="7"/>
    <n v="150"/>
    <n v="1050"/>
    <s v="Low"/>
    <s v="Bank"/>
  </r>
  <r>
    <d v="2024-04-18T00:00:00"/>
    <x v="5"/>
    <x v="0"/>
    <x v="3"/>
    <n v="1"/>
    <n v="4500"/>
    <n v="4500"/>
    <s v="Low"/>
    <s v="Cash"/>
  </r>
  <r>
    <d v="2024-10-21T00:00:00"/>
    <x v="4"/>
    <x v="0"/>
    <x v="2"/>
    <n v="6"/>
    <n v="3200"/>
    <n v="19200"/>
    <s v="High"/>
    <s v="Cash"/>
  </r>
  <r>
    <d v="2024-02-07T00:00:00"/>
    <x v="6"/>
    <x v="4"/>
    <x v="3"/>
    <n v="6"/>
    <n v="4500"/>
    <n v="27000"/>
    <s v="High"/>
    <s v="Bank"/>
  </r>
  <r>
    <d v="2024-05-28T00:00:00"/>
    <x v="6"/>
    <x v="2"/>
    <x v="4"/>
    <n v="10"/>
    <n v="3200"/>
    <n v="32000"/>
    <s v="High"/>
    <s v="Bank"/>
  </r>
  <r>
    <d v="2024-05-15T00:00:00"/>
    <x v="6"/>
    <x v="3"/>
    <x v="1"/>
    <n v="2"/>
    <n v="8500"/>
    <n v="17000"/>
    <s v="High"/>
    <s v="Bank"/>
  </r>
  <r>
    <d v="2024-09-19T00:00:00"/>
    <x v="7"/>
    <x v="4"/>
    <x v="1"/>
    <n v="10"/>
    <n v="150"/>
    <n v="1500"/>
    <s v="Low"/>
    <s v="Bank"/>
  </r>
  <r>
    <d v="2024-04-19T00:00:00"/>
    <x v="3"/>
    <x v="0"/>
    <x v="4"/>
    <n v="3"/>
    <n v="150"/>
    <n v="450"/>
    <s v="Low"/>
    <s v="Bank"/>
  </r>
  <r>
    <d v="2024-04-18T00:00:00"/>
    <x v="6"/>
    <x v="0"/>
    <x v="3"/>
    <n v="9"/>
    <n v="8500"/>
    <n v="76500"/>
    <s v="High"/>
    <s v="Mobile Money"/>
  </r>
  <r>
    <d v="2024-01-08T00:00:00"/>
    <x v="1"/>
    <x v="0"/>
    <x v="3"/>
    <n v="3"/>
    <n v="3200"/>
    <n v="9600"/>
    <s v="Low"/>
    <s v="Mobile Money"/>
  </r>
  <r>
    <d v="2024-11-20T00:00:00"/>
    <x v="7"/>
    <x v="1"/>
    <x v="1"/>
    <n v="2"/>
    <n v="3200"/>
    <n v="6400"/>
    <s v="Low"/>
    <s v="Mobile Money"/>
  </r>
  <r>
    <d v="2024-01-27T00:00:00"/>
    <x v="6"/>
    <x v="1"/>
    <x v="3"/>
    <n v="4"/>
    <n v="150"/>
    <n v="600"/>
    <s v="Low"/>
    <s v="Mobile Money"/>
  </r>
  <r>
    <d v="2024-01-10T00:00:00"/>
    <x v="4"/>
    <x v="2"/>
    <x v="1"/>
    <n v="5"/>
    <n v="3200"/>
    <n v="16000"/>
    <s v="High"/>
    <s v="Cash"/>
  </r>
  <r>
    <d v="2024-08-20T00:00:00"/>
    <x v="1"/>
    <x v="0"/>
    <x v="3"/>
    <n v="5"/>
    <n v="150"/>
    <n v="750"/>
    <s v="Low"/>
    <s v="Cash"/>
  </r>
  <r>
    <d v="2024-04-21T00:00:00"/>
    <x v="6"/>
    <x v="4"/>
    <x v="1"/>
    <n v="4"/>
    <n v="3200"/>
    <n v="12800"/>
    <s v="High"/>
    <s v="Cash"/>
  </r>
  <r>
    <d v="2024-05-12T00:00:00"/>
    <x v="4"/>
    <x v="0"/>
    <x v="1"/>
    <n v="1"/>
    <n v="150"/>
    <n v="150"/>
    <s v="Low"/>
    <s v="Bank"/>
  </r>
  <r>
    <d v="2024-08-31T00:00:00"/>
    <x v="4"/>
    <x v="3"/>
    <x v="4"/>
    <n v="4"/>
    <n v="150"/>
    <n v="600"/>
    <s v="Low"/>
    <s v="Bank"/>
  </r>
  <r>
    <d v="2024-12-12T00:00:00"/>
    <x v="0"/>
    <x v="4"/>
    <x v="1"/>
    <n v="1"/>
    <n v="8500"/>
    <n v="8500"/>
    <s v="Low"/>
    <s v="Mobile Money"/>
  </r>
  <r>
    <d v="2024-10-15T00:00:00"/>
    <x v="4"/>
    <x v="0"/>
    <x v="4"/>
    <n v="6"/>
    <n v="150"/>
    <n v="900"/>
    <s v="Low"/>
    <s v="Cash"/>
  </r>
  <r>
    <d v="2024-09-02T00:00:00"/>
    <x v="3"/>
    <x v="1"/>
    <x v="0"/>
    <n v="1"/>
    <n v="8500"/>
    <n v="8500"/>
    <s v="Low"/>
    <s v="Mobile Money"/>
  </r>
  <r>
    <d v="2024-01-04T00:00:00"/>
    <x v="6"/>
    <x v="0"/>
    <x v="3"/>
    <n v="8"/>
    <n v="300"/>
    <n v="2400"/>
    <s v="Low"/>
    <s v="Bank"/>
  </r>
  <r>
    <d v="2024-02-28T00:00:00"/>
    <x v="4"/>
    <x v="2"/>
    <x v="4"/>
    <n v="5"/>
    <n v="3200"/>
    <n v="16000"/>
    <s v="High"/>
    <s v="Cash"/>
  </r>
  <r>
    <d v="2024-07-30T00:00:00"/>
    <x v="5"/>
    <x v="2"/>
    <x v="0"/>
    <n v="1"/>
    <n v="8500"/>
    <n v="8500"/>
    <s v="Low"/>
    <s v="Cash"/>
  </r>
  <r>
    <d v="2024-03-05T00:00:00"/>
    <x v="2"/>
    <x v="0"/>
    <x v="3"/>
    <n v="7"/>
    <n v="300"/>
    <n v="2100"/>
    <s v="Low"/>
    <s v="Bank"/>
  </r>
  <r>
    <d v="2024-04-22T00:00:00"/>
    <x v="4"/>
    <x v="4"/>
    <x v="3"/>
    <n v="8"/>
    <n v="3200"/>
    <n v="25600"/>
    <s v="High"/>
    <s v="Cash"/>
  </r>
  <r>
    <d v="2024-08-15T00:00:00"/>
    <x v="0"/>
    <x v="4"/>
    <x v="0"/>
    <n v="2"/>
    <n v="3200"/>
    <n v="6400"/>
    <s v="Low"/>
    <s v="Cash"/>
  </r>
  <r>
    <d v="2024-06-08T00:00:00"/>
    <x v="6"/>
    <x v="4"/>
    <x v="4"/>
    <n v="3"/>
    <n v="300"/>
    <n v="900"/>
    <s v="Low"/>
    <s v="Bank"/>
  </r>
  <r>
    <d v="2024-09-08T00:00:00"/>
    <x v="3"/>
    <x v="4"/>
    <x v="3"/>
    <n v="2"/>
    <n v="8500"/>
    <n v="17000"/>
    <s v="High"/>
    <s v="Mobile Money"/>
  </r>
  <r>
    <d v="2024-09-21T00:00:00"/>
    <x v="7"/>
    <x v="1"/>
    <x v="2"/>
    <n v="10"/>
    <n v="3200"/>
    <n v="32000"/>
    <s v="High"/>
    <s v="Bank"/>
  </r>
  <r>
    <d v="2024-01-24T00:00:00"/>
    <x v="2"/>
    <x v="3"/>
    <x v="4"/>
    <n v="9"/>
    <n v="4500"/>
    <n v="40500"/>
    <s v="High"/>
    <s v="Mobile Money"/>
  </r>
  <r>
    <d v="2024-02-08T00:00:00"/>
    <x v="3"/>
    <x v="2"/>
    <x v="2"/>
    <n v="10"/>
    <n v="8500"/>
    <n v="85000"/>
    <s v="High"/>
    <s v="Bank"/>
  </r>
  <r>
    <d v="2024-06-08T00:00:00"/>
    <x v="2"/>
    <x v="4"/>
    <x v="0"/>
    <n v="5"/>
    <n v="4500"/>
    <n v="22500"/>
    <s v="High"/>
    <s v="Cash"/>
  </r>
  <r>
    <d v="2024-07-01T00:00:00"/>
    <x v="4"/>
    <x v="2"/>
    <x v="4"/>
    <n v="5"/>
    <n v="300"/>
    <n v="1500"/>
    <s v="Low"/>
    <s v="Mobile Money"/>
  </r>
  <r>
    <d v="2024-10-06T00:00:00"/>
    <x v="7"/>
    <x v="4"/>
    <x v="0"/>
    <n v="10"/>
    <n v="8500"/>
    <n v="85000"/>
    <s v="High"/>
    <s v="Cash"/>
  </r>
  <r>
    <d v="2024-07-02T00:00:00"/>
    <x v="3"/>
    <x v="1"/>
    <x v="0"/>
    <n v="10"/>
    <n v="300"/>
    <n v="3000"/>
    <s v="Low"/>
    <s v="Mobile Money"/>
  </r>
  <r>
    <d v="2024-06-07T00:00:00"/>
    <x v="4"/>
    <x v="4"/>
    <x v="2"/>
    <n v="6"/>
    <n v="300"/>
    <n v="1800"/>
    <s v="Low"/>
    <s v="Bank"/>
  </r>
  <r>
    <d v="2024-01-24T00:00:00"/>
    <x v="3"/>
    <x v="1"/>
    <x v="4"/>
    <n v="6"/>
    <n v="4500"/>
    <n v="27000"/>
    <s v="High"/>
    <s v="Bank"/>
  </r>
  <r>
    <d v="2024-12-26T00:00:00"/>
    <x v="0"/>
    <x v="1"/>
    <x v="3"/>
    <n v="6"/>
    <n v="8500"/>
    <n v="51000"/>
    <s v="High"/>
    <s v="Cash"/>
  </r>
  <r>
    <d v="2024-09-08T00:00:00"/>
    <x v="4"/>
    <x v="4"/>
    <x v="2"/>
    <n v="10"/>
    <n v="3200"/>
    <n v="32000"/>
    <s v="High"/>
    <s v="Mobile Money"/>
  </r>
  <r>
    <d v="2024-10-29T00:00:00"/>
    <x v="2"/>
    <x v="1"/>
    <x v="2"/>
    <n v="6"/>
    <n v="4500"/>
    <n v="27000"/>
    <s v="High"/>
    <s v="Bank"/>
  </r>
  <r>
    <d v="2024-01-20T00:00:00"/>
    <x v="5"/>
    <x v="3"/>
    <x v="0"/>
    <n v="1"/>
    <n v="4500"/>
    <n v="4500"/>
    <s v="Low"/>
    <s v="Cash"/>
  </r>
  <r>
    <d v="2024-07-06T00:00:00"/>
    <x v="5"/>
    <x v="4"/>
    <x v="2"/>
    <n v="2"/>
    <n v="300"/>
    <n v="600"/>
    <s v="Low"/>
    <s v="Mobile Money"/>
  </r>
  <r>
    <d v="2024-10-21T00:00:00"/>
    <x v="7"/>
    <x v="3"/>
    <x v="0"/>
    <n v="8"/>
    <n v="4500"/>
    <n v="36000"/>
    <s v="High"/>
    <s v="Mobile Money"/>
  </r>
  <r>
    <d v="2024-11-17T00:00:00"/>
    <x v="2"/>
    <x v="1"/>
    <x v="2"/>
    <n v="6"/>
    <n v="300"/>
    <n v="1800"/>
    <s v="Low"/>
    <s v="Bank"/>
  </r>
  <r>
    <d v="2024-06-28T00:00:00"/>
    <x v="5"/>
    <x v="4"/>
    <x v="2"/>
    <n v="2"/>
    <n v="4500"/>
    <n v="9000"/>
    <s v="Low"/>
    <s v="Mobile Money"/>
  </r>
  <r>
    <d v="2024-04-06T00:00:00"/>
    <x v="5"/>
    <x v="3"/>
    <x v="4"/>
    <n v="2"/>
    <n v="4500"/>
    <n v="9000"/>
    <s v="Low"/>
    <s v="Bank"/>
  </r>
  <r>
    <d v="2024-10-14T00:00:00"/>
    <x v="5"/>
    <x v="4"/>
    <x v="4"/>
    <n v="6"/>
    <n v="8500"/>
    <n v="51000"/>
    <s v="High"/>
    <s v="Cash"/>
  </r>
  <r>
    <d v="2024-02-27T00:00:00"/>
    <x v="2"/>
    <x v="0"/>
    <x v="3"/>
    <n v="4"/>
    <n v="8500"/>
    <n v="34000"/>
    <s v="High"/>
    <s v="Cash"/>
  </r>
  <r>
    <d v="2024-07-11T00:00:00"/>
    <x v="5"/>
    <x v="1"/>
    <x v="0"/>
    <n v="7"/>
    <n v="3200"/>
    <n v="22400"/>
    <s v="High"/>
    <s v="Bank"/>
  </r>
  <r>
    <d v="2024-06-12T00:00:00"/>
    <x v="2"/>
    <x v="0"/>
    <x v="4"/>
    <n v="8"/>
    <n v="300"/>
    <n v="2400"/>
    <s v="Low"/>
    <s v="Mobile Money"/>
  </r>
  <r>
    <d v="2024-01-23T00:00:00"/>
    <x v="4"/>
    <x v="0"/>
    <x v="4"/>
    <n v="1"/>
    <n v="8500"/>
    <n v="8500"/>
    <s v="Low"/>
    <s v="Bank"/>
  </r>
  <r>
    <d v="2024-08-15T00:00:00"/>
    <x v="2"/>
    <x v="3"/>
    <x v="0"/>
    <n v="5"/>
    <n v="8500"/>
    <n v="42500"/>
    <s v="High"/>
    <s v="Bank"/>
  </r>
  <r>
    <d v="2024-12-12T00:00:00"/>
    <x v="1"/>
    <x v="4"/>
    <x v="3"/>
    <n v="4"/>
    <n v="300"/>
    <n v="1200"/>
    <s v="Low"/>
    <s v="Mobile Money"/>
  </r>
  <r>
    <d v="2024-10-09T00:00:00"/>
    <x v="1"/>
    <x v="1"/>
    <x v="0"/>
    <n v="5"/>
    <n v="3200"/>
    <n v="16000"/>
    <s v="High"/>
    <s v="Bank"/>
  </r>
  <r>
    <d v="2024-10-10T00:00:00"/>
    <x v="1"/>
    <x v="2"/>
    <x v="1"/>
    <n v="2"/>
    <n v="300"/>
    <n v="600"/>
    <s v="Low"/>
    <s v="Bank"/>
  </r>
  <r>
    <d v="2024-05-05T00:00:00"/>
    <x v="1"/>
    <x v="0"/>
    <x v="0"/>
    <n v="8"/>
    <n v="150"/>
    <n v="1200"/>
    <s v="Low"/>
    <s v="Mobile Money"/>
  </r>
  <r>
    <d v="2024-12-06T00:00:00"/>
    <x v="0"/>
    <x v="3"/>
    <x v="0"/>
    <n v="10"/>
    <n v="300"/>
    <n v="3000"/>
    <s v="Low"/>
    <s v="Bank"/>
  </r>
  <r>
    <d v="2024-01-10T00:00:00"/>
    <x v="0"/>
    <x v="2"/>
    <x v="2"/>
    <n v="4"/>
    <n v="300"/>
    <n v="1200"/>
    <s v="Low"/>
    <s v="Cash"/>
  </r>
  <r>
    <d v="2024-06-27T00:00:00"/>
    <x v="2"/>
    <x v="1"/>
    <x v="2"/>
    <n v="3"/>
    <n v="4500"/>
    <n v="13500"/>
    <s v="High"/>
    <s v="Bank"/>
  </r>
  <r>
    <d v="2024-11-11T00:00:00"/>
    <x v="7"/>
    <x v="3"/>
    <x v="4"/>
    <n v="8"/>
    <n v="4500"/>
    <n v="36000"/>
    <s v="High"/>
    <s v="Mobile Money"/>
  </r>
  <r>
    <d v="2024-06-30T00:00:00"/>
    <x v="6"/>
    <x v="2"/>
    <x v="4"/>
    <n v="2"/>
    <n v="8500"/>
    <n v="17000"/>
    <s v="High"/>
    <s v="Bank"/>
  </r>
  <r>
    <d v="2024-06-12T00:00:00"/>
    <x v="1"/>
    <x v="4"/>
    <x v="4"/>
    <n v="10"/>
    <n v="8500"/>
    <n v="85000"/>
    <s v="High"/>
    <s v="Cash"/>
  </r>
  <r>
    <d v="2024-10-01T00:00:00"/>
    <x v="2"/>
    <x v="3"/>
    <x v="2"/>
    <n v="3"/>
    <n v="8500"/>
    <n v="25500"/>
    <s v="High"/>
    <s v="Bank"/>
  </r>
  <r>
    <d v="2024-05-24T00:00:00"/>
    <x v="7"/>
    <x v="1"/>
    <x v="4"/>
    <n v="3"/>
    <n v="4500"/>
    <n v="13500"/>
    <s v="High"/>
    <s v="Cash"/>
  </r>
  <r>
    <d v="2024-09-21T00:00:00"/>
    <x v="6"/>
    <x v="3"/>
    <x v="3"/>
    <n v="5"/>
    <n v="8500"/>
    <n v="42500"/>
    <s v="High"/>
    <s v="Mobile Money"/>
  </r>
  <r>
    <d v="2024-03-22T00:00:00"/>
    <x v="6"/>
    <x v="2"/>
    <x v="4"/>
    <n v="7"/>
    <n v="3200"/>
    <n v="22400"/>
    <s v="High"/>
    <s v="Cash"/>
  </r>
  <r>
    <d v="2024-10-27T00:00:00"/>
    <x v="1"/>
    <x v="3"/>
    <x v="4"/>
    <n v="4"/>
    <n v="8500"/>
    <n v="34000"/>
    <s v="High"/>
    <s v="Mobile Money"/>
  </r>
  <r>
    <d v="2024-10-04T00:00:00"/>
    <x v="6"/>
    <x v="3"/>
    <x v="1"/>
    <n v="2"/>
    <n v="8500"/>
    <n v="17000"/>
    <s v="High"/>
    <s v="Mobile Money"/>
  </r>
  <r>
    <d v="2024-09-22T00:00:00"/>
    <x v="7"/>
    <x v="0"/>
    <x v="1"/>
    <n v="4"/>
    <n v="150"/>
    <n v="600"/>
    <s v="Low"/>
    <s v="Bank"/>
  </r>
  <r>
    <d v="2024-10-27T00:00:00"/>
    <x v="4"/>
    <x v="3"/>
    <x v="3"/>
    <n v="2"/>
    <n v="150"/>
    <n v="300"/>
    <s v="Low"/>
    <s v="Mobile Money"/>
  </r>
  <r>
    <d v="2024-07-10T00:00:00"/>
    <x v="1"/>
    <x v="1"/>
    <x v="3"/>
    <n v="6"/>
    <n v="3200"/>
    <n v="19200"/>
    <s v="High"/>
    <s v="Mobile Money"/>
  </r>
  <r>
    <d v="2024-01-07T00:00:00"/>
    <x v="4"/>
    <x v="2"/>
    <x v="3"/>
    <n v="5"/>
    <n v="3200"/>
    <n v="16000"/>
    <s v="High"/>
    <s v="Cash"/>
  </r>
  <r>
    <d v="2024-08-31T00:00:00"/>
    <x v="5"/>
    <x v="0"/>
    <x v="1"/>
    <n v="1"/>
    <n v="3200"/>
    <n v="3200"/>
    <s v="Low"/>
    <s v="Bank"/>
  </r>
  <r>
    <d v="2024-11-21T00:00:00"/>
    <x v="4"/>
    <x v="2"/>
    <x v="0"/>
    <n v="2"/>
    <n v="150"/>
    <n v="300"/>
    <s v="Low"/>
    <s v="Cash"/>
  </r>
  <r>
    <d v="2024-11-03T00:00:00"/>
    <x v="2"/>
    <x v="3"/>
    <x v="4"/>
    <n v="10"/>
    <n v="300"/>
    <n v="3000"/>
    <s v="Low"/>
    <s v="Cash"/>
  </r>
  <r>
    <d v="2024-02-20T00:00:00"/>
    <x v="0"/>
    <x v="3"/>
    <x v="1"/>
    <n v="9"/>
    <n v="8500"/>
    <n v="76500"/>
    <s v="High"/>
    <s v="Mobile Money"/>
  </r>
  <r>
    <d v="2024-02-12T00:00:00"/>
    <x v="6"/>
    <x v="0"/>
    <x v="1"/>
    <n v="1"/>
    <n v="150"/>
    <n v="150"/>
    <s v="Low"/>
    <s v="Cash"/>
  </r>
  <r>
    <d v="2024-10-07T00:00:00"/>
    <x v="5"/>
    <x v="1"/>
    <x v="2"/>
    <n v="5"/>
    <n v="150"/>
    <n v="750"/>
    <s v="Low"/>
    <s v="Cash"/>
  </r>
  <r>
    <d v="2024-02-28T00:00:00"/>
    <x v="3"/>
    <x v="1"/>
    <x v="0"/>
    <n v="2"/>
    <n v="4500"/>
    <n v="9000"/>
    <s v="Low"/>
    <s v="Cash"/>
  </r>
  <r>
    <d v="2024-12-06T00:00:00"/>
    <x v="0"/>
    <x v="1"/>
    <x v="0"/>
    <n v="1"/>
    <n v="300"/>
    <n v="300"/>
    <s v="Low"/>
    <s v="Mobile Money"/>
  </r>
  <r>
    <d v="2024-05-10T00:00:00"/>
    <x v="1"/>
    <x v="0"/>
    <x v="3"/>
    <n v="5"/>
    <n v="300"/>
    <n v="1500"/>
    <s v="Low"/>
    <s v="Mobile Money"/>
  </r>
  <r>
    <d v="2024-07-26T00:00:00"/>
    <x v="4"/>
    <x v="1"/>
    <x v="4"/>
    <n v="5"/>
    <n v="3200"/>
    <n v="16000"/>
    <s v="High"/>
    <s v="Cash"/>
  </r>
  <r>
    <d v="2024-01-27T00:00:00"/>
    <x v="4"/>
    <x v="2"/>
    <x v="0"/>
    <n v="10"/>
    <n v="8500"/>
    <n v="85000"/>
    <s v="High"/>
    <s v="Cash"/>
  </r>
  <r>
    <d v="2024-05-03T00:00:00"/>
    <x v="4"/>
    <x v="0"/>
    <x v="3"/>
    <n v="1"/>
    <n v="300"/>
    <n v="300"/>
    <s v="Low"/>
    <s v="Bank"/>
  </r>
  <r>
    <d v="2024-02-13T00:00:00"/>
    <x v="0"/>
    <x v="3"/>
    <x v="3"/>
    <n v="3"/>
    <n v="3200"/>
    <n v="9600"/>
    <s v="Low"/>
    <s v="Mobile Money"/>
  </r>
  <r>
    <d v="2024-07-05T00:00:00"/>
    <x v="7"/>
    <x v="4"/>
    <x v="2"/>
    <n v="8"/>
    <n v="3200"/>
    <n v="25600"/>
    <s v="High"/>
    <s v="Mobile Money"/>
  </r>
  <r>
    <d v="2024-08-17T00:00:00"/>
    <x v="3"/>
    <x v="1"/>
    <x v="1"/>
    <n v="7"/>
    <n v="4500"/>
    <n v="31500"/>
    <s v="High"/>
    <s v="Bank"/>
  </r>
  <r>
    <d v="2024-05-21T00:00:00"/>
    <x v="5"/>
    <x v="4"/>
    <x v="0"/>
    <n v="4"/>
    <n v="150"/>
    <n v="600"/>
    <s v="Low"/>
    <s v="Bank"/>
  </r>
  <r>
    <d v="2024-07-21T00:00:00"/>
    <x v="3"/>
    <x v="3"/>
    <x v="4"/>
    <n v="8"/>
    <n v="300"/>
    <n v="2400"/>
    <s v="Low"/>
    <s v="Mobile Money"/>
  </r>
  <r>
    <d v="2024-06-14T00:00:00"/>
    <x v="2"/>
    <x v="1"/>
    <x v="0"/>
    <n v="6"/>
    <n v="8500"/>
    <n v="51000"/>
    <s v="High"/>
    <s v="Bank"/>
  </r>
  <r>
    <d v="2024-06-12T00:00:00"/>
    <x v="7"/>
    <x v="1"/>
    <x v="1"/>
    <n v="4"/>
    <n v="300"/>
    <n v="1200"/>
    <s v="Low"/>
    <s v="Mobile Money"/>
  </r>
  <r>
    <d v="2024-10-26T00:00:00"/>
    <x v="2"/>
    <x v="2"/>
    <x v="3"/>
    <n v="7"/>
    <n v="150"/>
    <n v="1050"/>
    <s v="Low"/>
    <s v="Cash"/>
  </r>
  <r>
    <d v="2024-04-18T00:00:00"/>
    <x v="0"/>
    <x v="0"/>
    <x v="1"/>
    <n v="9"/>
    <n v="3200"/>
    <n v="28800"/>
    <s v="High"/>
    <s v="Mobile Money"/>
  </r>
  <r>
    <d v="2024-06-30T00:00:00"/>
    <x v="2"/>
    <x v="3"/>
    <x v="3"/>
    <n v="9"/>
    <n v="150"/>
    <n v="1350"/>
    <s v="Low"/>
    <s v="Mobile Money"/>
  </r>
  <r>
    <d v="2024-07-13T00:00:00"/>
    <x v="4"/>
    <x v="3"/>
    <x v="4"/>
    <n v="10"/>
    <n v="3200"/>
    <n v="32000"/>
    <s v="High"/>
    <s v="Bank"/>
  </r>
  <r>
    <d v="2024-04-03T00:00:00"/>
    <x v="0"/>
    <x v="3"/>
    <x v="2"/>
    <n v="1"/>
    <n v="8500"/>
    <n v="8500"/>
    <s v="Low"/>
    <s v="Mobile Money"/>
  </r>
  <r>
    <d v="2024-01-13T00:00:00"/>
    <x v="5"/>
    <x v="2"/>
    <x v="2"/>
    <n v="10"/>
    <n v="4500"/>
    <n v="45000"/>
    <s v="High"/>
    <s v="Cash"/>
  </r>
  <r>
    <d v="2024-03-25T00:00:00"/>
    <x v="0"/>
    <x v="1"/>
    <x v="0"/>
    <n v="9"/>
    <n v="4500"/>
    <n v="40500"/>
    <s v="High"/>
    <s v="Cash"/>
  </r>
  <r>
    <d v="2024-05-28T00:00:00"/>
    <x v="7"/>
    <x v="4"/>
    <x v="2"/>
    <n v="7"/>
    <n v="300"/>
    <n v="2100"/>
    <s v="Low"/>
    <s v="Cash"/>
  </r>
  <r>
    <d v="2024-09-26T00:00:00"/>
    <x v="1"/>
    <x v="2"/>
    <x v="1"/>
    <n v="2"/>
    <n v="4500"/>
    <n v="9000"/>
    <s v="Low"/>
    <s v="Cash"/>
  </r>
  <r>
    <d v="2024-05-06T00:00:00"/>
    <x v="2"/>
    <x v="4"/>
    <x v="2"/>
    <n v="1"/>
    <n v="150"/>
    <n v="150"/>
    <s v="Low"/>
    <s v="Cash"/>
  </r>
  <r>
    <d v="2024-04-23T00:00:00"/>
    <x v="3"/>
    <x v="0"/>
    <x v="0"/>
    <n v="1"/>
    <n v="4500"/>
    <n v="4500"/>
    <s v="Low"/>
    <s v="Mobile Money"/>
  </r>
  <r>
    <d v="2024-11-06T00:00:00"/>
    <x v="4"/>
    <x v="3"/>
    <x v="3"/>
    <n v="6"/>
    <n v="300"/>
    <n v="1800"/>
    <s v="Low"/>
    <s v="Mobile Money"/>
  </r>
  <r>
    <d v="2024-03-21T00:00:00"/>
    <x v="2"/>
    <x v="0"/>
    <x v="4"/>
    <n v="10"/>
    <n v="3200"/>
    <n v="32000"/>
    <s v="High"/>
    <s v="Cash"/>
  </r>
  <r>
    <d v="2024-02-20T00:00:00"/>
    <x v="2"/>
    <x v="2"/>
    <x v="4"/>
    <n v="9"/>
    <n v="8500"/>
    <n v="76500"/>
    <s v="High"/>
    <s v="Mobile Money"/>
  </r>
  <r>
    <d v="2024-07-24T00:00:00"/>
    <x v="3"/>
    <x v="4"/>
    <x v="2"/>
    <n v="4"/>
    <n v="8500"/>
    <n v="34000"/>
    <s v="High"/>
    <s v="Bank"/>
  </r>
  <r>
    <d v="2024-02-19T00:00:00"/>
    <x v="5"/>
    <x v="3"/>
    <x v="1"/>
    <n v="6"/>
    <n v="4500"/>
    <n v="27000"/>
    <s v="High"/>
    <s v="Bank"/>
  </r>
  <r>
    <d v="2024-02-18T00:00:00"/>
    <x v="2"/>
    <x v="1"/>
    <x v="1"/>
    <n v="9"/>
    <n v="150"/>
    <n v="1350"/>
    <s v="Low"/>
    <s v="Bank"/>
  </r>
  <r>
    <d v="2024-04-24T00:00:00"/>
    <x v="7"/>
    <x v="0"/>
    <x v="4"/>
    <n v="8"/>
    <n v="150"/>
    <n v="1200"/>
    <s v="Low"/>
    <s v="Mobile Money"/>
  </r>
  <r>
    <d v="2024-05-16T00:00:00"/>
    <x v="3"/>
    <x v="4"/>
    <x v="4"/>
    <n v="5"/>
    <n v="8500"/>
    <n v="42500"/>
    <s v="High"/>
    <s v="Bank"/>
  </r>
  <r>
    <d v="2024-07-14T00:00:00"/>
    <x v="6"/>
    <x v="1"/>
    <x v="3"/>
    <n v="6"/>
    <n v="8500"/>
    <n v="51000"/>
    <s v="High"/>
    <s v="Cash"/>
  </r>
  <r>
    <d v="2024-07-06T00:00:00"/>
    <x v="2"/>
    <x v="1"/>
    <x v="1"/>
    <n v="6"/>
    <n v="3200"/>
    <n v="19200"/>
    <s v="High"/>
    <s v="Cash"/>
  </r>
  <r>
    <d v="2024-07-28T00:00:00"/>
    <x v="0"/>
    <x v="4"/>
    <x v="1"/>
    <n v="9"/>
    <n v="150"/>
    <n v="1350"/>
    <s v="Low"/>
    <s v="Mobile Money"/>
  </r>
  <r>
    <d v="2024-04-15T00:00:00"/>
    <x v="1"/>
    <x v="4"/>
    <x v="0"/>
    <n v="10"/>
    <n v="150"/>
    <n v="1500"/>
    <s v="Low"/>
    <s v="Cash"/>
  </r>
  <r>
    <d v="2024-01-21T00:00:00"/>
    <x v="3"/>
    <x v="2"/>
    <x v="2"/>
    <n v="7"/>
    <n v="300"/>
    <n v="2100"/>
    <s v="Low"/>
    <s v="Cash"/>
  </r>
  <r>
    <d v="2024-08-05T00:00:00"/>
    <x v="2"/>
    <x v="0"/>
    <x v="1"/>
    <n v="9"/>
    <n v="4500"/>
    <n v="40500"/>
    <s v="High"/>
    <s v="Cash"/>
  </r>
  <r>
    <d v="2024-03-02T00:00:00"/>
    <x v="0"/>
    <x v="0"/>
    <x v="0"/>
    <n v="5"/>
    <n v="150"/>
    <n v="750"/>
    <s v="Low"/>
    <s v="Cash"/>
  </r>
  <r>
    <d v="2024-09-17T00:00:00"/>
    <x v="6"/>
    <x v="0"/>
    <x v="0"/>
    <n v="4"/>
    <n v="300"/>
    <n v="1200"/>
    <s v="Low"/>
    <s v="Bank"/>
  </r>
  <r>
    <d v="2024-12-02T00:00:00"/>
    <x v="1"/>
    <x v="2"/>
    <x v="0"/>
    <n v="7"/>
    <n v="300"/>
    <n v="2100"/>
    <s v="Low"/>
    <s v="Cash"/>
  </r>
  <r>
    <d v="2024-09-16T00:00:00"/>
    <x v="7"/>
    <x v="2"/>
    <x v="3"/>
    <n v="3"/>
    <n v="300"/>
    <n v="900"/>
    <s v="Low"/>
    <s v="Bank"/>
  </r>
  <r>
    <d v="2024-07-20T00:00:00"/>
    <x v="6"/>
    <x v="1"/>
    <x v="1"/>
    <n v="1"/>
    <n v="3200"/>
    <n v="3200"/>
    <s v="Low"/>
    <s v="Mobile Money"/>
  </r>
  <r>
    <d v="2024-09-04T00:00:00"/>
    <x v="7"/>
    <x v="0"/>
    <x v="0"/>
    <n v="9"/>
    <n v="150"/>
    <n v="1350"/>
    <s v="Low"/>
    <s v="Cash"/>
  </r>
  <r>
    <d v="2024-01-26T00:00:00"/>
    <x v="3"/>
    <x v="0"/>
    <x v="0"/>
    <n v="3"/>
    <n v="300"/>
    <n v="900"/>
    <s v="Low"/>
    <s v="Cash"/>
  </r>
  <r>
    <d v="2024-03-14T00:00:00"/>
    <x v="2"/>
    <x v="3"/>
    <x v="3"/>
    <n v="7"/>
    <n v="300"/>
    <n v="2100"/>
    <s v="Low"/>
    <s v="Mobile Money"/>
  </r>
  <r>
    <d v="2024-03-03T00:00:00"/>
    <x v="4"/>
    <x v="1"/>
    <x v="4"/>
    <n v="6"/>
    <n v="3200"/>
    <n v="19200"/>
    <s v="High"/>
    <s v="Cash"/>
  </r>
  <r>
    <d v="2024-12-08T00:00:00"/>
    <x v="0"/>
    <x v="4"/>
    <x v="2"/>
    <n v="4"/>
    <n v="8500"/>
    <n v="34000"/>
    <s v="High"/>
    <s v="Cash"/>
  </r>
  <r>
    <d v="2024-03-24T00:00:00"/>
    <x v="0"/>
    <x v="3"/>
    <x v="1"/>
    <n v="2"/>
    <n v="4500"/>
    <n v="9000"/>
    <s v="Low"/>
    <s v="Cash"/>
  </r>
  <r>
    <d v="2024-01-31T00:00:00"/>
    <x v="1"/>
    <x v="1"/>
    <x v="3"/>
    <n v="6"/>
    <n v="150"/>
    <n v="900"/>
    <s v="Low"/>
    <s v="Cash"/>
  </r>
  <r>
    <d v="2024-06-25T00:00:00"/>
    <x v="5"/>
    <x v="3"/>
    <x v="2"/>
    <n v="10"/>
    <n v="3200"/>
    <n v="32000"/>
    <s v="High"/>
    <s v="Mobile Money"/>
  </r>
  <r>
    <d v="2024-01-02T00:00:00"/>
    <x v="0"/>
    <x v="1"/>
    <x v="4"/>
    <n v="2"/>
    <n v="4500"/>
    <n v="9000"/>
    <s v="Low"/>
    <s v="Mobile Money"/>
  </r>
  <r>
    <d v="2024-08-16T00:00:00"/>
    <x v="4"/>
    <x v="2"/>
    <x v="4"/>
    <n v="3"/>
    <n v="8500"/>
    <n v="25500"/>
    <s v="High"/>
    <s v="Cash"/>
  </r>
  <r>
    <d v="2024-10-24T00:00:00"/>
    <x v="6"/>
    <x v="4"/>
    <x v="0"/>
    <n v="6"/>
    <n v="8500"/>
    <n v="51000"/>
    <s v="High"/>
    <s v="Mobile Money"/>
  </r>
  <r>
    <d v="2024-08-31T00:00:00"/>
    <x v="2"/>
    <x v="2"/>
    <x v="4"/>
    <n v="3"/>
    <n v="300"/>
    <n v="900"/>
    <s v="Low"/>
    <s v="Mobile Money"/>
  </r>
  <r>
    <d v="2024-05-17T00:00:00"/>
    <x v="0"/>
    <x v="4"/>
    <x v="1"/>
    <n v="9"/>
    <n v="8500"/>
    <n v="76500"/>
    <s v="High"/>
    <s v="Cash"/>
  </r>
  <r>
    <d v="2024-06-03T00:00:00"/>
    <x v="6"/>
    <x v="3"/>
    <x v="1"/>
    <n v="10"/>
    <n v="150"/>
    <n v="1500"/>
    <s v="Low"/>
    <s v="Bank"/>
  </r>
  <r>
    <d v="2024-10-11T00:00:00"/>
    <x v="1"/>
    <x v="4"/>
    <x v="2"/>
    <n v="3"/>
    <n v="150"/>
    <n v="450"/>
    <s v="Low"/>
    <s v="Cash"/>
  </r>
  <r>
    <d v="2024-11-11T00:00:00"/>
    <x v="7"/>
    <x v="4"/>
    <x v="2"/>
    <n v="3"/>
    <n v="4500"/>
    <n v="13500"/>
    <s v="High"/>
    <s v="Bank"/>
  </r>
  <r>
    <d v="2024-09-03T00:00:00"/>
    <x v="0"/>
    <x v="1"/>
    <x v="0"/>
    <n v="3"/>
    <n v="4500"/>
    <n v="13500"/>
    <s v="High"/>
    <s v="Bank"/>
  </r>
  <r>
    <d v="2024-07-22T00:00:00"/>
    <x v="1"/>
    <x v="1"/>
    <x v="1"/>
    <n v="1"/>
    <n v="300"/>
    <n v="300"/>
    <s v="Low"/>
    <s v="Cash"/>
  </r>
  <r>
    <d v="2024-05-30T00:00:00"/>
    <x v="3"/>
    <x v="4"/>
    <x v="1"/>
    <n v="8"/>
    <n v="150"/>
    <n v="1200"/>
    <s v="Low"/>
    <s v="Mobile Money"/>
  </r>
  <r>
    <d v="2024-08-07T00:00:00"/>
    <x v="2"/>
    <x v="0"/>
    <x v="3"/>
    <n v="10"/>
    <n v="150"/>
    <n v="1500"/>
    <s v="Low"/>
    <s v="Bank"/>
  </r>
  <r>
    <d v="2024-05-27T00:00:00"/>
    <x v="4"/>
    <x v="3"/>
    <x v="4"/>
    <n v="5"/>
    <n v="3200"/>
    <n v="16000"/>
    <s v="High"/>
    <s v="Bank"/>
  </r>
  <r>
    <d v="2024-11-25T00:00:00"/>
    <x v="2"/>
    <x v="0"/>
    <x v="0"/>
    <n v="8"/>
    <n v="8500"/>
    <n v="68000"/>
    <s v="High"/>
    <s v="Cash"/>
  </r>
  <r>
    <d v="2024-08-26T00:00:00"/>
    <x v="4"/>
    <x v="4"/>
    <x v="3"/>
    <n v="3"/>
    <n v="300"/>
    <n v="900"/>
    <s v="Low"/>
    <s v="Cash"/>
  </r>
  <r>
    <d v="2024-05-01T00:00:00"/>
    <x v="0"/>
    <x v="0"/>
    <x v="2"/>
    <n v="7"/>
    <n v="3200"/>
    <n v="22400"/>
    <s v="High"/>
    <s v="Cash"/>
  </r>
  <r>
    <d v="2024-03-19T00:00:00"/>
    <x v="6"/>
    <x v="1"/>
    <x v="0"/>
    <n v="1"/>
    <n v="4500"/>
    <n v="4500"/>
    <s v="Low"/>
    <s v="Cash"/>
  </r>
  <r>
    <d v="2024-11-04T00:00:00"/>
    <x v="1"/>
    <x v="2"/>
    <x v="0"/>
    <n v="9"/>
    <n v="300"/>
    <n v="2700"/>
    <s v="Low"/>
    <s v="Bank"/>
  </r>
  <r>
    <d v="2024-04-01T00:00:00"/>
    <x v="5"/>
    <x v="1"/>
    <x v="4"/>
    <n v="1"/>
    <n v="300"/>
    <n v="300"/>
    <s v="Low"/>
    <s v="Mobile Money"/>
  </r>
  <r>
    <d v="2024-08-29T00:00:00"/>
    <x v="5"/>
    <x v="2"/>
    <x v="4"/>
    <n v="6"/>
    <n v="8500"/>
    <n v="51000"/>
    <s v="High"/>
    <s v="Cash"/>
  </r>
  <r>
    <d v="2024-04-25T00:00:00"/>
    <x v="3"/>
    <x v="3"/>
    <x v="2"/>
    <n v="10"/>
    <n v="8500"/>
    <n v="85000"/>
    <s v="High"/>
    <s v="Cash"/>
  </r>
  <r>
    <d v="2024-05-27T00:00:00"/>
    <x v="0"/>
    <x v="0"/>
    <x v="0"/>
    <n v="10"/>
    <n v="4500"/>
    <n v="45000"/>
    <s v="High"/>
    <s v="Bank"/>
  </r>
  <r>
    <d v="2024-03-21T00:00:00"/>
    <x v="2"/>
    <x v="2"/>
    <x v="4"/>
    <n v="8"/>
    <n v="300"/>
    <n v="2400"/>
    <s v="Low"/>
    <s v="Cash"/>
  </r>
  <r>
    <d v="2024-01-31T00:00:00"/>
    <x v="2"/>
    <x v="1"/>
    <x v="1"/>
    <n v="5"/>
    <n v="8500"/>
    <n v="42500"/>
    <s v="High"/>
    <s v="Cash"/>
  </r>
  <r>
    <d v="2024-07-28T00:00:00"/>
    <x v="7"/>
    <x v="1"/>
    <x v="3"/>
    <n v="5"/>
    <n v="150"/>
    <n v="750"/>
    <s v="Low"/>
    <s v="Cash"/>
  </r>
  <r>
    <d v="2024-05-18T00:00:00"/>
    <x v="7"/>
    <x v="3"/>
    <x v="0"/>
    <n v="9"/>
    <n v="3200"/>
    <n v="28800"/>
    <s v="High"/>
    <s v="Cash"/>
  </r>
  <r>
    <d v="2024-06-19T00:00:00"/>
    <x v="4"/>
    <x v="4"/>
    <x v="1"/>
    <n v="3"/>
    <n v="300"/>
    <n v="900"/>
    <s v="Low"/>
    <s v="Mobile Money"/>
  </r>
  <r>
    <d v="2024-12-17T00:00:00"/>
    <x v="1"/>
    <x v="3"/>
    <x v="2"/>
    <n v="9"/>
    <n v="150"/>
    <n v="1350"/>
    <s v="Low"/>
    <s v="Bank"/>
  </r>
  <r>
    <d v="2024-10-19T00:00:00"/>
    <x v="0"/>
    <x v="4"/>
    <x v="4"/>
    <n v="1"/>
    <n v="4500"/>
    <n v="4500"/>
    <s v="Low"/>
    <s v="Cash"/>
  </r>
  <r>
    <d v="2024-12-13T00:00:00"/>
    <x v="1"/>
    <x v="4"/>
    <x v="2"/>
    <n v="5"/>
    <n v="8500"/>
    <n v="42500"/>
    <s v="High"/>
    <s v="Mobile Money"/>
  </r>
  <r>
    <d v="2024-12-08T00:00:00"/>
    <x v="6"/>
    <x v="0"/>
    <x v="4"/>
    <n v="7"/>
    <n v="4500"/>
    <n v="31500"/>
    <s v="High"/>
    <s v="Mobile Money"/>
  </r>
  <r>
    <d v="2024-05-29T00:00:00"/>
    <x v="2"/>
    <x v="0"/>
    <x v="4"/>
    <n v="2"/>
    <n v="8500"/>
    <n v="17000"/>
    <s v="High"/>
    <s v="Bank"/>
  </r>
  <r>
    <d v="2024-01-06T00:00:00"/>
    <x v="2"/>
    <x v="1"/>
    <x v="2"/>
    <n v="7"/>
    <n v="8500"/>
    <n v="59500"/>
    <s v="High"/>
    <s v="Mobile Money"/>
  </r>
  <r>
    <d v="2024-09-24T00:00:00"/>
    <x v="7"/>
    <x v="4"/>
    <x v="3"/>
    <n v="2"/>
    <n v="4500"/>
    <n v="9000"/>
    <s v="Low"/>
    <s v="Mobile Money"/>
  </r>
  <r>
    <d v="2024-11-26T00:00:00"/>
    <x v="3"/>
    <x v="2"/>
    <x v="1"/>
    <n v="2"/>
    <n v="3200"/>
    <n v="6400"/>
    <s v="Low"/>
    <s v="Mobile Money"/>
  </r>
  <r>
    <d v="2024-07-19T00:00:00"/>
    <x v="7"/>
    <x v="3"/>
    <x v="3"/>
    <n v="7"/>
    <n v="150"/>
    <n v="1050"/>
    <s v="Low"/>
    <s v="Cash"/>
  </r>
  <r>
    <d v="2024-09-09T00:00:00"/>
    <x v="4"/>
    <x v="2"/>
    <x v="4"/>
    <n v="10"/>
    <n v="3200"/>
    <n v="32000"/>
    <s v="High"/>
    <s v="Cash"/>
  </r>
  <r>
    <d v="2024-09-21T00:00:00"/>
    <x v="0"/>
    <x v="0"/>
    <x v="2"/>
    <n v="5"/>
    <n v="8500"/>
    <n v="42500"/>
    <s v="High"/>
    <s v="Mobile Money"/>
  </r>
  <r>
    <d v="2024-09-04T00:00:00"/>
    <x v="4"/>
    <x v="2"/>
    <x v="1"/>
    <n v="7"/>
    <n v="4500"/>
    <n v="31500"/>
    <s v="High"/>
    <s v="Mobile Money"/>
  </r>
  <r>
    <d v="2024-01-27T00:00:00"/>
    <x v="1"/>
    <x v="3"/>
    <x v="3"/>
    <n v="4"/>
    <n v="150"/>
    <n v="600"/>
    <s v="Low"/>
    <s v="Cash"/>
  </r>
  <r>
    <d v="2024-02-09T00:00:00"/>
    <x v="5"/>
    <x v="2"/>
    <x v="4"/>
    <n v="10"/>
    <n v="3200"/>
    <n v="32000"/>
    <s v="High"/>
    <s v="Mobile Money"/>
  </r>
  <r>
    <d v="2024-09-25T00:00:00"/>
    <x v="1"/>
    <x v="0"/>
    <x v="0"/>
    <n v="4"/>
    <n v="8500"/>
    <n v="34000"/>
    <s v="High"/>
    <s v="Bank"/>
  </r>
  <r>
    <d v="2024-03-04T00:00:00"/>
    <x v="1"/>
    <x v="1"/>
    <x v="2"/>
    <n v="7"/>
    <n v="300"/>
    <n v="2100"/>
    <s v="Low"/>
    <s v="Mobile Money"/>
  </r>
  <r>
    <d v="2024-05-23T00:00:00"/>
    <x v="6"/>
    <x v="3"/>
    <x v="4"/>
    <n v="5"/>
    <n v="4500"/>
    <n v="22500"/>
    <s v="High"/>
    <s v="Mobile Money"/>
  </r>
  <r>
    <d v="2024-12-19T00:00:00"/>
    <x v="6"/>
    <x v="0"/>
    <x v="1"/>
    <n v="1"/>
    <n v="8500"/>
    <n v="8500"/>
    <s v="Low"/>
    <s v="Bank"/>
  </r>
  <r>
    <d v="2024-09-21T00:00:00"/>
    <x v="5"/>
    <x v="3"/>
    <x v="4"/>
    <n v="8"/>
    <n v="150"/>
    <n v="1200"/>
    <s v="Low"/>
    <s v="Cash"/>
  </r>
  <r>
    <d v="2024-05-22T00:00:00"/>
    <x v="6"/>
    <x v="2"/>
    <x v="1"/>
    <n v="2"/>
    <n v="8500"/>
    <n v="17000"/>
    <s v="High"/>
    <s v="Cash"/>
  </r>
  <r>
    <d v="2024-12-01T00:00:00"/>
    <x v="4"/>
    <x v="2"/>
    <x v="3"/>
    <n v="4"/>
    <n v="150"/>
    <n v="600"/>
    <s v="Low"/>
    <s v="Bank"/>
  </r>
  <r>
    <d v="2024-12-07T00:00:00"/>
    <x v="6"/>
    <x v="1"/>
    <x v="2"/>
    <n v="10"/>
    <n v="3200"/>
    <n v="32000"/>
    <s v="High"/>
    <s v="Cash"/>
  </r>
  <r>
    <d v="2024-04-12T00:00:00"/>
    <x v="2"/>
    <x v="2"/>
    <x v="1"/>
    <n v="7"/>
    <n v="4500"/>
    <n v="31500"/>
    <s v="High"/>
    <s v="Cash"/>
  </r>
  <r>
    <d v="2024-05-15T00:00:00"/>
    <x v="4"/>
    <x v="1"/>
    <x v="1"/>
    <n v="1"/>
    <n v="150"/>
    <n v="150"/>
    <s v="Low"/>
    <s v="Mobile Money"/>
  </r>
  <r>
    <d v="2024-08-16T00:00:00"/>
    <x v="3"/>
    <x v="1"/>
    <x v="3"/>
    <n v="7"/>
    <n v="150"/>
    <n v="1050"/>
    <s v="Low"/>
    <s v="Cash"/>
  </r>
  <r>
    <d v="2024-11-01T00:00:00"/>
    <x v="3"/>
    <x v="0"/>
    <x v="0"/>
    <n v="9"/>
    <n v="3200"/>
    <n v="28800"/>
    <s v="High"/>
    <s v="Cash"/>
  </r>
  <r>
    <d v="2024-06-08T00:00:00"/>
    <x v="1"/>
    <x v="1"/>
    <x v="4"/>
    <n v="5"/>
    <n v="300"/>
    <n v="1500"/>
    <s v="Low"/>
    <s v="Mobile Money"/>
  </r>
  <r>
    <d v="2024-02-02T00:00:00"/>
    <x v="6"/>
    <x v="0"/>
    <x v="0"/>
    <n v="10"/>
    <n v="8500"/>
    <n v="85000"/>
    <s v="High"/>
    <s v="Mobile Money"/>
  </r>
  <r>
    <d v="2024-04-09T00:00:00"/>
    <x v="2"/>
    <x v="1"/>
    <x v="4"/>
    <n v="1"/>
    <n v="300"/>
    <n v="300"/>
    <s v="Low"/>
    <s v="Bank"/>
  </r>
  <r>
    <d v="2024-04-22T00:00:00"/>
    <x v="3"/>
    <x v="3"/>
    <x v="0"/>
    <n v="5"/>
    <n v="8500"/>
    <n v="42500"/>
    <s v="High"/>
    <s v="Mobile Money"/>
  </r>
  <r>
    <d v="2024-09-29T00:00:00"/>
    <x v="7"/>
    <x v="3"/>
    <x v="3"/>
    <n v="4"/>
    <n v="300"/>
    <n v="1200"/>
    <s v="Low"/>
    <s v="Mobile Money"/>
  </r>
  <r>
    <d v="2024-10-18T00:00:00"/>
    <x v="1"/>
    <x v="4"/>
    <x v="3"/>
    <n v="10"/>
    <n v="3200"/>
    <n v="32000"/>
    <s v="High"/>
    <s v="Bank"/>
  </r>
  <r>
    <d v="2024-05-12T00:00:00"/>
    <x v="4"/>
    <x v="4"/>
    <x v="4"/>
    <n v="10"/>
    <n v="3200"/>
    <n v="32000"/>
    <s v="High"/>
    <s v="Cash"/>
  </r>
  <r>
    <d v="2024-12-27T00:00:00"/>
    <x v="3"/>
    <x v="0"/>
    <x v="2"/>
    <n v="1"/>
    <n v="8500"/>
    <n v="8500"/>
    <s v="Low"/>
    <s v="Bank"/>
  </r>
  <r>
    <d v="2024-10-18T00:00:00"/>
    <x v="7"/>
    <x v="4"/>
    <x v="3"/>
    <n v="7"/>
    <n v="4500"/>
    <n v="31500"/>
    <s v="High"/>
    <s v="Mobile Money"/>
  </r>
  <r>
    <d v="2024-08-23T00:00:00"/>
    <x v="6"/>
    <x v="3"/>
    <x v="0"/>
    <n v="10"/>
    <n v="3200"/>
    <n v="32000"/>
    <s v="High"/>
    <s v="Bank"/>
  </r>
  <r>
    <d v="2024-09-25T00:00:00"/>
    <x v="6"/>
    <x v="1"/>
    <x v="0"/>
    <n v="2"/>
    <n v="300"/>
    <n v="600"/>
    <s v="Low"/>
    <s v="Cash"/>
  </r>
  <r>
    <d v="2024-02-23T00:00:00"/>
    <x v="1"/>
    <x v="0"/>
    <x v="1"/>
    <n v="2"/>
    <n v="300"/>
    <n v="600"/>
    <s v="Low"/>
    <s v="Bank"/>
  </r>
  <r>
    <d v="2024-05-26T00:00:00"/>
    <x v="1"/>
    <x v="4"/>
    <x v="1"/>
    <n v="9"/>
    <n v="150"/>
    <n v="1350"/>
    <s v="Low"/>
    <s v="Mobile Money"/>
  </r>
  <r>
    <d v="2024-01-21T00:00:00"/>
    <x v="1"/>
    <x v="4"/>
    <x v="4"/>
    <n v="5"/>
    <n v="150"/>
    <n v="750"/>
    <s v="Low"/>
    <s v="Mobile Money"/>
  </r>
  <r>
    <d v="2024-04-27T00:00:00"/>
    <x v="1"/>
    <x v="3"/>
    <x v="2"/>
    <n v="6"/>
    <n v="8500"/>
    <n v="51000"/>
    <s v="High"/>
    <s v="Mobile Money"/>
  </r>
  <r>
    <d v="2024-07-19T00:00:00"/>
    <x v="0"/>
    <x v="3"/>
    <x v="0"/>
    <n v="9"/>
    <n v="4500"/>
    <n v="40500"/>
    <s v="High"/>
    <s v="Bank"/>
  </r>
  <r>
    <d v="2024-05-30T00:00:00"/>
    <x v="6"/>
    <x v="3"/>
    <x v="2"/>
    <n v="5"/>
    <n v="300"/>
    <n v="1500"/>
    <s v="Low"/>
    <s v="Cash"/>
  </r>
  <r>
    <d v="2024-10-26T00:00:00"/>
    <x v="2"/>
    <x v="1"/>
    <x v="2"/>
    <n v="2"/>
    <n v="4500"/>
    <n v="9000"/>
    <s v="Low"/>
    <s v="Cash"/>
  </r>
  <r>
    <d v="2024-06-29T00:00:00"/>
    <x v="0"/>
    <x v="0"/>
    <x v="3"/>
    <n v="10"/>
    <n v="4500"/>
    <n v="45000"/>
    <s v="High"/>
    <s v="Mobile Money"/>
  </r>
  <r>
    <d v="2024-06-27T00:00:00"/>
    <x v="3"/>
    <x v="0"/>
    <x v="4"/>
    <n v="4"/>
    <n v="3200"/>
    <n v="12800"/>
    <s v="High"/>
    <s v="Mobile Money"/>
  </r>
  <r>
    <d v="2024-05-31T00:00:00"/>
    <x v="6"/>
    <x v="4"/>
    <x v="2"/>
    <n v="5"/>
    <n v="8500"/>
    <n v="42500"/>
    <s v="High"/>
    <s v="Cash"/>
  </r>
  <r>
    <d v="2024-01-01T00:00:00"/>
    <x v="5"/>
    <x v="2"/>
    <x v="4"/>
    <n v="9"/>
    <n v="4500"/>
    <n v="40500"/>
    <s v="High"/>
    <s v="Cash"/>
  </r>
  <r>
    <d v="2024-06-19T00:00:00"/>
    <x v="6"/>
    <x v="3"/>
    <x v="2"/>
    <n v="4"/>
    <n v="8500"/>
    <n v="34000"/>
    <s v="High"/>
    <s v="Mobile Money"/>
  </r>
  <r>
    <d v="2024-08-11T00:00:00"/>
    <x v="0"/>
    <x v="3"/>
    <x v="1"/>
    <n v="8"/>
    <n v="4500"/>
    <n v="36000"/>
    <s v="High"/>
    <s v="Mobile Money"/>
  </r>
  <r>
    <d v="2024-03-26T00:00:00"/>
    <x v="7"/>
    <x v="3"/>
    <x v="3"/>
    <n v="2"/>
    <n v="150"/>
    <n v="300"/>
    <s v="Low"/>
    <s v="Mobile Money"/>
  </r>
  <r>
    <d v="2024-05-23T00:00:00"/>
    <x v="2"/>
    <x v="0"/>
    <x v="0"/>
    <n v="9"/>
    <n v="3200"/>
    <n v="28800"/>
    <s v="High"/>
    <s v="Bank"/>
  </r>
  <r>
    <d v="2024-10-27T00:00:00"/>
    <x v="2"/>
    <x v="3"/>
    <x v="3"/>
    <n v="9"/>
    <n v="300"/>
    <n v="2700"/>
    <s v="Low"/>
    <s v="Cash"/>
  </r>
  <r>
    <d v="2024-10-22T00:00:00"/>
    <x v="6"/>
    <x v="0"/>
    <x v="4"/>
    <n v="10"/>
    <n v="3200"/>
    <n v="32000"/>
    <s v="High"/>
    <s v="Cash"/>
  </r>
  <r>
    <d v="2024-04-07T00:00:00"/>
    <x v="3"/>
    <x v="1"/>
    <x v="0"/>
    <n v="1"/>
    <n v="8500"/>
    <n v="8500"/>
    <s v="Low"/>
    <s v="Bank"/>
  </r>
  <r>
    <d v="2024-07-10T00:00:00"/>
    <x v="5"/>
    <x v="1"/>
    <x v="0"/>
    <n v="6"/>
    <n v="300"/>
    <n v="1800"/>
    <s v="Low"/>
    <s v="Cash"/>
  </r>
  <r>
    <d v="2024-04-15T00:00:00"/>
    <x v="1"/>
    <x v="1"/>
    <x v="1"/>
    <n v="10"/>
    <n v="300"/>
    <n v="3000"/>
    <s v="Low"/>
    <s v="Cash"/>
  </r>
  <r>
    <d v="2024-09-23T00:00:00"/>
    <x v="6"/>
    <x v="2"/>
    <x v="3"/>
    <n v="5"/>
    <n v="150"/>
    <n v="750"/>
    <s v="Low"/>
    <s v="Mobile Money"/>
  </r>
  <r>
    <d v="2024-03-09T00:00:00"/>
    <x v="3"/>
    <x v="3"/>
    <x v="4"/>
    <n v="6"/>
    <n v="3200"/>
    <n v="19200"/>
    <s v="High"/>
    <s v="Cash"/>
  </r>
  <r>
    <d v="2024-05-06T00:00:00"/>
    <x v="7"/>
    <x v="1"/>
    <x v="1"/>
    <n v="10"/>
    <n v="8500"/>
    <n v="85000"/>
    <s v="High"/>
    <s v="Bank"/>
  </r>
  <r>
    <d v="2024-02-16T00:00:00"/>
    <x v="3"/>
    <x v="2"/>
    <x v="1"/>
    <n v="1"/>
    <n v="150"/>
    <n v="150"/>
    <s v="Low"/>
    <s v="Mobile Money"/>
  </r>
  <r>
    <d v="2024-05-03T00:00:00"/>
    <x v="1"/>
    <x v="4"/>
    <x v="2"/>
    <n v="1"/>
    <n v="150"/>
    <n v="150"/>
    <s v="Low"/>
    <s v="Mobile Money"/>
  </r>
  <r>
    <d v="2024-01-14T00:00:00"/>
    <x v="5"/>
    <x v="2"/>
    <x v="1"/>
    <n v="2"/>
    <n v="4500"/>
    <n v="9000"/>
    <s v="Low"/>
    <s v="Bank"/>
  </r>
  <r>
    <d v="2024-05-27T00:00:00"/>
    <x v="4"/>
    <x v="3"/>
    <x v="1"/>
    <n v="8"/>
    <n v="150"/>
    <n v="1200"/>
    <s v="Low"/>
    <s v="Bank"/>
  </r>
  <r>
    <d v="2024-02-20T00:00:00"/>
    <x v="0"/>
    <x v="3"/>
    <x v="2"/>
    <n v="9"/>
    <n v="150"/>
    <n v="1350"/>
    <s v="Low"/>
    <s v="Mobile Money"/>
  </r>
  <r>
    <d v="2024-04-05T00:00:00"/>
    <x v="2"/>
    <x v="2"/>
    <x v="4"/>
    <n v="10"/>
    <n v="4500"/>
    <n v="45000"/>
    <s v="High"/>
    <s v="Bank"/>
  </r>
  <r>
    <d v="2024-03-03T00:00:00"/>
    <x v="2"/>
    <x v="1"/>
    <x v="2"/>
    <n v="10"/>
    <n v="8500"/>
    <n v="85000"/>
    <s v="High"/>
    <s v="Cash"/>
  </r>
  <r>
    <d v="2024-01-18T00:00:00"/>
    <x v="4"/>
    <x v="1"/>
    <x v="1"/>
    <n v="9"/>
    <n v="4500"/>
    <n v="40500"/>
    <s v="High"/>
    <s v="Mobile Money"/>
  </r>
  <r>
    <d v="2024-06-17T00:00:00"/>
    <x v="5"/>
    <x v="2"/>
    <x v="3"/>
    <n v="10"/>
    <n v="150"/>
    <n v="1500"/>
    <s v="Low"/>
    <s v="Mobile Money"/>
  </r>
  <r>
    <d v="2024-11-28T00:00:00"/>
    <x v="5"/>
    <x v="2"/>
    <x v="3"/>
    <n v="8"/>
    <n v="3200"/>
    <n v="25600"/>
    <s v="High"/>
    <s v="Bank"/>
  </r>
  <r>
    <d v="2024-11-22T00:00:00"/>
    <x v="0"/>
    <x v="1"/>
    <x v="2"/>
    <n v="10"/>
    <n v="3200"/>
    <n v="32000"/>
    <s v="High"/>
    <s v="Bank"/>
  </r>
  <r>
    <d v="2024-09-01T00:00:00"/>
    <x v="6"/>
    <x v="0"/>
    <x v="4"/>
    <n v="2"/>
    <n v="4500"/>
    <n v="9000"/>
    <s v="Low"/>
    <s v="Cash"/>
  </r>
  <r>
    <d v="2024-07-24T00:00:00"/>
    <x v="0"/>
    <x v="3"/>
    <x v="0"/>
    <n v="7"/>
    <n v="8500"/>
    <n v="59500"/>
    <s v="High"/>
    <s v="Bank"/>
  </r>
  <r>
    <d v="2024-11-14T00:00:00"/>
    <x v="4"/>
    <x v="0"/>
    <x v="3"/>
    <n v="3"/>
    <n v="300"/>
    <n v="900"/>
    <s v="Low"/>
    <s v="Mobile Money"/>
  </r>
  <r>
    <d v="2024-04-14T00:00:00"/>
    <x v="4"/>
    <x v="0"/>
    <x v="2"/>
    <n v="9"/>
    <n v="3200"/>
    <n v="28800"/>
    <s v="High"/>
    <s v="Bank"/>
  </r>
  <r>
    <d v="2024-12-23T00:00:00"/>
    <x v="3"/>
    <x v="3"/>
    <x v="2"/>
    <n v="6"/>
    <n v="4500"/>
    <n v="27000"/>
    <s v="High"/>
    <s v="Mobile Money"/>
  </r>
  <r>
    <d v="2024-08-12T00:00:00"/>
    <x v="5"/>
    <x v="0"/>
    <x v="3"/>
    <n v="6"/>
    <n v="4500"/>
    <n v="27000"/>
    <s v="High"/>
    <s v="Mobile Money"/>
  </r>
  <r>
    <d v="2024-04-16T00:00:00"/>
    <x v="0"/>
    <x v="1"/>
    <x v="4"/>
    <n v="2"/>
    <n v="3200"/>
    <n v="6400"/>
    <s v="Low"/>
    <s v="Cash"/>
  </r>
  <r>
    <d v="2024-12-21T00:00:00"/>
    <x v="5"/>
    <x v="1"/>
    <x v="0"/>
    <n v="10"/>
    <n v="8500"/>
    <n v="85000"/>
    <s v="High"/>
    <s v="Bank"/>
  </r>
  <r>
    <d v="2024-01-05T00:00:00"/>
    <x v="0"/>
    <x v="4"/>
    <x v="2"/>
    <n v="7"/>
    <n v="300"/>
    <n v="2100"/>
    <s v="Low"/>
    <s v="Cash"/>
  </r>
  <r>
    <d v="2024-07-29T00:00:00"/>
    <x v="1"/>
    <x v="3"/>
    <x v="3"/>
    <n v="2"/>
    <n v="4500"/>
    <n v="9000"/>
    <s v="Low"/>
    <s v="Bank"/>
  </r>
  <r>
    <d v="2024-11-19T00:00:00"/>
    <x v="3"/>
    <x v="2"/>
    <x v="4"/>
    <n v="3"/>
    <n v="3200"/>
    <n v="9600"/>
    <s v="Low"/>
    <s v="Cash"/>
  </r>
  <r>
    <d v="2024-03-05T00:00:00"/>
    <x v="1"/>
    <x v="1"/>
    <x v="3"/>
    <n v="6"/>
    <n v="8500"/>
    <n v="51000"/>
    <s v="High"/>
    <s v="Bank"/>
  </r>
  <r>
    <d v="2024-06-06T00:00:00"/>
    <x v="2"/>
    <x v="1"/>
    <x v="0"/>
    <n v="7"/>
    <n v="3200"/>
    <n v="22400"/>
    <s v="High"/>
    <s v="Mobile Money"/>
  </r>
  <r>
    <d v="2024-11-11T00:00:00"/>
    <x v="7"/>
    <x v="0"/>
    <x v="2"/>
    <n v="6"/>
    <n v="300"/>
    <n v="1800"/>
    <s v="Low"/>
    <s v="Bank"/>
  </r>
  <r>
    <d v="2024-09-15T00:00:00"/>
    <x v="4"/>
    <x v="2"/>
    <x v="4"/>
    <n v="5"/>
    <n v="4500"/>
    <n v="22500"/>
    <s v="High"/>
    <s v="Mobile Money"/>
  </r>
  <r>
    <d v="2024-02-05T00:00:00"/>
    <x v="7"/>
    <x v="0"/>
    <x v="3"/>
    <n v="3"/>
    <n v="8500"/>
    <n v="25500"/>
    <s v="High"/>
    <s v="Bank"/>
  </r>
  <r>
    <d v="2024-08-21T00:00:00"/>
    <x v="3"/>
    <x v="1"/>
    <x v="4"/>
    <n v="3"/>
    <n v="3200"/>
    <n v="9600"/>
    <s v="Low"/>
    <s v="Mobile Money"/>
  </r>
  <r>
    <d v="2024-05-21T00:00:00"/>
    <x v="7"/>
    <x v="4"/>
    <x v="1"/>
    <n v="1"/>
    <n v="8500"/>
    <n v="8500"/>
    <s v="Low"/>
    <s v="Bank"/>
  </r>
  <r>
    <d v="2024-11-04T00:00:00"/>
    <x v="6"/>
    <x v="3"/>
    <x v="1"/>
    <n v="3"/>
    <n v="150"/>
    <n v="450"/>
    <s v="Low"/>
    <s v="Bank"/>
  </r>
  <r>
    <d v="2024-04-22T00:00:00"/>
    <x v="2"/>
    <x v="3"/>
    <x v="4"/>
    <n v="5"/>
    <n v="150"/>
    <n v="750"/>
    <s v="Low"/>
    <s v="Bank"/>
  </r>
  <r>
    <d v="2024-08-28T00:00:00"/>
    <x v="2"/>
    <x v="0"/>
    <x v="4"/>
    <n v="10"/>
    <n v="8500"/>
    <n v="85000"/>
    <s v="High"/>
    <s v="Bank"/>
  </r>
  <r>
    <d v="2024-05-01T00:00:00"/>
    <x v="1"/>
    <x v="3"/>
    <x v="3"/>
    <n v="2"/>
    <n v="8500"/>
    <n v="17000"/>
    <s v="High"/>
    <s v="Cash"/>
  </r>
  <r>
    <d v="2024-12-24T00:00:00"/>
    <x v="4"/>
    <x v="4"/>
    <x v="0"/>
    <n v="4"/>
    <n v="3200"/>
    <n v="12800"/>
    <s v="High"/>
    <s v="Cash"/>
  </r>
  <r>
    <d v="2024-12-07T00:00:00"/>
    <x v="7"/>
    <x v="3"/>
    <x v="0"/>
    <n v="7"/>
    <n v="300"/>
    <n v="2100"/>
    <s v="Low"/>
    <s v="Cash"/>
  </r>
  <r>
    <d v="2024-11-18T00:00:00"/>
    <x v="4"/>
    <x v="4"/>
    <x v="1"/>
    <n v="10"/>
    <n v="300"/>
    <n v="3000"/>
    <s v="Low"/>
    <s v="Bank"/>
  </r>
  <r>
    <d v="2024-06-30T00:00:00"/>
    <x v="2"/>
    <x v="0"/>
    <x v="0"/>
    <n v="3"/>
    <n v="150"/>
    <n v="450"/>
    <s v="Low"/>
    <s v="Mobile Money"/>
  </r>
  <r>
    <d v="2024-08-30T00:00:00"/>
    <x v="3"/>
    <x v="0"/>
    <x v="0"/>
    <n v="8"/>
    <n v="300"/>
    <n v="2400"/>
    <s v="Low"/>
    <s v="Bank"/>
  </r>
  <r>
    <d v="2024-01-05T00:00:00"/>
    <x v="0"/>
    <x v="0"/>
    <x v="1"/>
    <n v="2"/>
    <n v="300"/>
    <n v="600"/>
    <s v="Low"/>
    <s v="Bank"/>
  </r>
  <r>
    <d v="2024-07-20T00:00:00"/>
    <x v="1"/>
    <x v="1"/>
    <x v="4"/>
    <n v="4"/>
    <n v="150"/>
    <n v="600"/>
    <s v="Low"/>
    <s v="Cash"/>
  </r>
  <r>
    <d v="2024-08-19T00:00:00"/>
    <x v="7"/>
    <x v="3"/>
    <x v="1"/>
    <n v="9"/>
    <n v="8500"/>
    <n v="76500"/>
    <s v="High"/>
    <s v="Cash"/>
  </r>
  <r>
    <d v="2024-12-08T00:00:00"/>
    <x v="7"/>
    <x v="3"/>
    <x v="4"/>
    <n v="1"/>
    <n v="150"/>
    <n v="150"/>
    <s v="Low"/>
    <s v="Bank"/>
  </r>
  <r>
    <d v="2024-04-10T00:00:00"/>
    <x v="0"/>
    <x v="2"/>
    <x v="3"/>
    <n v="3"/>
    <n v="8500"/>
    <n v="25500"/>
    <s v="High"/>
    <s v="Bank"/>
  </r>
  <r>
    <d v="2024-10-29T00:00:00"/>
    <x v="4"/>
    <x v="0"/>
    <x v="3"/>
    <n v="9"/>
    <n v="3200"/>
    <n v="28800"/>
    <s v="High"/>
    <s v="Mobile Money"/>
  </r>
  <r>
    <d v="2024-03-19T00:00:00"/>
    <x v="3"/>
    <x v="4"/>
    <x v="4"/>
    <n v="2"/>
    <n v="3200"/>
    <n v="6400"/>
    <s v="Low"/>
    <s v="Bank"/>
  </r>
  <r>
    <d v="2024-04-14T00:00:00"/>
    <x v="4"/>
    <x v="1"/>
    <x v="0"/>
    <n v="1"/>
    <n v="8500"/>
    <n v="8500"/>
    <s v="Low"/>
    <s v="Bank"/>
  </r>
  <r>
    <d v="2024-05-04T00:00:00"/>
    <x v="0"/>
    <x v="1"/>
    <x v="3"/>
    <n v="9"/>
    <n v="300"/>
    <n v="2700"/>
    <s v="Low"/>
    <s v="Cash"/>
  </r>
  <r>
    <d v="2024-09-17T00:00:00"/>
    <x v="1"/>
    <x v="2"/>
    <x v="1"/>
    <n v="2"/>
    <n v="3200"/>
    <n v="6400"/>
    <s v="Low"/>
    <s v="Mobile Money"/>
  </r>
  <r>
    <d v="2024-01-15T00:00:00"/>
    <x v="2"/>
    <x v="0"/>
    <x v="0"/>
    <n v="2"/>
    <n v="150"/>
    <n v="300"/>
    <s v="Low"/>
    <s v="Mobile Money"/>
  </r>
  <r>
    <d v="2024-06-04T00:00:00"/>
    <x v="0"/>
    <x v="1"/>
    <x v="3"/>
    <n v="3"/>
    <n v="300"/>
    <n v="900"/>
    <s v="Low"/>
    <s v="Mobile Money"/>
  </r>
  <r>
    <d v="2024-11-23T00:00:00"/>
    <x v="5"/>
    <x v="4"/>
    <x v="3"/>
    <n v="4"/>
    <n v="3200"/>
    <n v="12800"/>
    <s v="High"/>
    <s v="Mobile Money"/>
  </r>
  <r>
    <d v="2024-05-23T00:00:00"/>
    <x v="4"/>
    <x v="2"/>
    <x v="2"/>
    <n v="7"/>
    <n v="3200"/>
    <n v="22400"/>
    <s v="High"/>
    <s v="Bank"/>
  </r>
  <r>
    <d v="2024-01-26T00:00:00"/>
    <x v="3"/>
    <x v="1"/>
    <x v="0"/>
    <n v="3"/>
    <n v="4500"/>
    <n v="13500"/>
    <s v="High"/>
    <s v="Cash"/>
  </r>
  <r>
    <d v="2024-05-09T00:00:00"/>
    <x v="5"/>
    <x v="1"/>
    <x v="1"/>
    <n v="8"/>
    <n v="300"/>
    <n v="2400"/>
    <s v="Low"/>
    <s v="Mobile Money"/>
  </r>
  <r>
    <d v="2024-10-23T00:00:00"/>
    <x v="0"/>
    <x v="3"/>
    <x v="0"/>
    <n v="5"/>
    <n v="150"/>
    <n v="750"/>
    <s v="Low"/>
    <s v="Mobile Money"/>
  </r>
  <r>
    <d v="2024-04-14T00:00:00"/>
    <x v="3"/>
    <x v="2"/>
    <x v="3"/>
    <n v="10"/>
    <n v="300"/>
    <n v="3000"/>
    <s v="Low"/>
    <s v="Mobile Money"/>
  </r>
  <r>
    <d v="2024-08-16T00:00:00"/>
    <x v="7"/>
    <x v="0"/>
    <x v="0"/>
    <n v="2"/>
    <n v="3200"/>
    <n v="6400"/>
    <s v="Low"/>
    <s v="Cash"/>
  </r>
  <r>
    <d v="2024-12-13T00:00:00"/>
    <x v="0"/>
    <x v="0"/>
    <x v="4"/>
    <n v="5"/>
    <n v="300"/>
    <n v="1500"/>
    <s v="Low"/>
    <s v="Bank"/>
  </r>
  <r>
    <d v="2024-11-06T00:00:00"/>
    <x v="2"/>
    <x v="1"/>
    <x v="1"/>
    <n v="9"/>
    <n v="8500"/>
    <n v="76500"/>
    <s v="High"/>
    <s v="Mobile Money"/>
  </r>
  <r>
    <d v="2024-09-15T00:00:00"/>
    <x v="3"/>
    <x v="4"/>
    <x v="4"/>
    <n v="1"/>
    <n v="150"/>
    <n v="150"/>
    <s v="Low"/>
    <s v="Mobile Money"/>
  </r>
  <r>
    <d v="2024-06-16T00:00:00"/>
    <x v="5"/>
    <x v="1"/>
    <x v="4"/>
    <n v="3"/>
    <n v="8500"/>
    <n v="25500"/>
    <s v="High"/>
    <s v="Cash"/>
  </r>
  <r>
    <d v="2024-04-06T00:00:00"/>
    <x v="7"/>
    <x v="2"/>
    <x v="4"/>
    <n v="2"/>
    <n v="8500"/>
    <n v="17000"/>
    <s v="High"/>
    <s v="Cash"/>
  </r>
  <r>
    <d v="2024-12-13T00:00:00"/>
    <x v="0"/>
    <x v="4"/>
    <x v="1"/>
    <n v="6"/>
    <n v="8500"/>
    <n v="51000"/>
    <s v="High"/>
    <s v="Bank"/>
  </r>
  <r>
    <d v="2024-07-01T00:00:00"/>
    <x v="2"/>
    <x v="2"/>
    <x v="3"/>
    <n v="8"/>
    <n v="150"/>
    <n v="1200"/>
    <s v="Low"/>
    <s v="Cash"/>
  </r>
  <r>
    <d v="2024-07-20T00:00:00"/>
    <x v="7"/>
    <x v="4"/>
    <x v="0"/>
    <n v="6"/>
    <n v="3200"/>
    <n v="19200"/>
    <s v="High"/>
    <s v="Bank"/>
  </r>
  <r>
    <d v="2024-04-29T00:00:00"/>
    <x v="0"/>
    <x v="1"/>
    <x v="3"/>
    <n v="4"/>
    <n v="300"/>
    <n v="1200"/>
    <s v="Low"/>
    <s v="Bank"/>
  </r>
  <r>
    <d v="2024-08-17T00:00:00"/>
    <x v="5"/>
    <x v="0"/>
    <x v="0"/>
    <n v="4"/>
    <n v="3200"/>
    <n v="12800"/>
    <s v="High"/>
    <s v="Bank"/>
  </r>
  <r>
    <d v="2024-10-23T00:00:00"/>
    <x v="5"/>
    <x v="0"/>
    <x v="4"/>
    <n v="3"/>
    <n v="300"/>
    <n v="900"/>
    <s v="Low"/>
    <s v="Mobile Money"/>
  </r>
  <r>
    <d v="2024-01-25T00:00:00"/>
    <x v="0"/>
    <x v="0"/>
    <x v="2"/>
    <n v="10"/>
    <n v="8500"/>
    <n v="85000"/>
    <s v="High"/>
    <s v="Cash"/>
  </r>
  <r>
    <d v="2024-02-03T00:00:00"/>
    <x v="3"/>
    <x v="4"/>
    <x v="4"/>
    <n v="1"/>
    <n v="4500"/>
    <n v="4500"/>
    <s v="Low"/>
    <s v="Cash"/>
  </r>
  <r>
    <d v="2024-07-09T00:00:00"/>
    <x v="2"/>
    <x v="4"/>
    <x v="1"/>
    <n v="8"/>
    <n v="8500"/>
    <n v="68000"/>
    <s v="High"/>
    <s v="Cash"/>
  </r>
  <r>
    <d v="2024-05-12T00:00:00"/>
    <x v="2"/>
    <x v="4"/>
    <x v="1"/>
    <n v="8"/>
    <n v="150"/>
    <n v="1200"/>
    <s v="Low"/>
    <s v="Mobile Money"/>
  </r>
  <r>
    <d v="2024-06-21T00:00:00"/>
    <x v="0"/>
    <x v="4"/>
    <x v="1"/>
    <n v="9"/>
    <n v="150"/>
    <n v="1350"/>
    <s v="Low"/>
    <s v="Bank"/>
  </r>
  <r>
    <d v="2024-11-09T00:00:00"/>
    <x v="3"/>
    <x v="3"/>
    <x v="4"/>
    <n v="6"/>
    <n v="150"/>
    <n v="900"/>
    <s v="Low"/>
    <s v="Bank"/>
  </r>
  <r>
    <d v="2024-07-13T00:00:00"/>
    <x v="5"/>
    <x v="0"/>
    <x v="0"/>
    <n v="9"/>
    <n v="8500"/>
    <n v="76500"/>
    <s v="High"/>
    <s v="Mobile Money"/>
  </r>
  <r>
    <d v="2024-03-30T00:00:00"/>
    <x v="7"/>
    <x v="2"/>
    <x v="1"/>
    <n v="8"/>
    <n v="300"/>
    <n v="2400"/>
    <s v="Low"/>
    <s v="Mobile Money"/>
  </r>
  <r>
    <d v="2024-02-28T00:00:00"/>
    <x v="3"/>
    <x v="2"/>
    <x v="0"/>
    <n v="6"/>
    <n v="150"/>
    <n v="900"/>
    <s v="Low"/>
    <s v="Bank"/>
  </r>
  <r>
    <d v="2024-05-21T00:00:00"/>
    <x v="3"/>
    <x v="3"/>
    <x v="0"/>
    <n v="8"/>
    <n v="300"/>
    <n v="2400"/>
    <s v="Low"/>
    <s v="Cash"/>
  </r>
  <r>
    <d v="2024-01-01T00:00:00"/>
    <x v="2"/>
    <x v="0"/>
    <x v="1"/>
    <n v="2"/>
    <n v="300"/>
    <n v="600"/>
    <s v="Low"/>
    <s v="Mobile Money"/>
  </r>
  <r>
    <d v="2024-12-01T00:00:00"/>
    <x v="4"/>
    <x v="4"/>
    <x v="0"/>
    <n v="10"/>
    <n v="150"/>
    <n v="1500"/>
    <s v="Low"/>
    <s v="Cash"/>
  </r>
  <r>
    <d v="2024-05-07T00:00:00"/>
    <x v="0"/>
    <x v="4"/>
    <x v="0"/>
    <n v="1"/>
    <n v="300"/>
    <n v="300"/>
    <s v="Low"/>
    <s v="Mobile Money"/>
  </r>
  <r>
    <d v="2024-01-31T00:00:00"/>
    <x v="1"/>
    <x v="3"/>
    <x v="0"/>
    <n v="7"/>
    <n v="300"/>
    <n v="2100"/>
    <s v="Low"/>
    <s v="Cash"/>
  </r>
  <r>
    <d v="2024-08-04T00:00:00"/>
    <x v="5"/>
    <x v="1"/>
    <x v="2"/>
    <n v="3"/>
    <n v="300"/>
    <n v="900"/>
    <s v="Low"/>
    <s v="Mobile Money"/>
  </r>
  <r>
    <d v="2024-11-01T00:00:00"/>
    <x v="4"/>
    <x v="4"/>
    <x v="0"/>
    <n v="9"/>
    <n v="4500"/>
    <n v="40500"/>
    <s v="High"/>
    <s v="Bank"/>
  </r>
  <r>
    <d v="2024-10-19T00:00:00"/>
    <x v="0"/>
    <x v="1"/>
    <x v="1"/>
    <n v="3"/>
    <n v="300"/>
    <n v="900"/>
    <s v="Low"/>
    <s v="Cash"/>
  </r>
  <r>
    <d v="2024-03-05T00:00:00"/>
    <x v="3"/>
    <x v="3"/>
    <x v="0"/>
    <n v="8"/>
    <n v="150"/>
    <n v="1200"/>
    <s v="Low"/>
    <s v="Cash"/>
  </r>
  <r>
    <d v="2024-10-07T00:00:00"/>
    <x v="5"/>
    <x v="1"/>
    <x v="1"/>
    <n v="5"/>
    <n v="300"/>
    <n v="1500"/>
    <s v="Low"/>
    <s v="Cash"/>
  </r>
  <r>
    <d v="2024-05-08T00:00:00"/>
    <x v="2"/>
    <x v="3"/>
    <x v="2"/>
    <n v="8"/>
    <n v="150"/>
    <n v="1200"/>
    <s v="Low"/>
    <s v="Mobile Money"/>
  </r>
  <r>
    <d v="2024-04-18T00:00:00"/>
    <x v="4"/>
    <x v="2"/>
    <x v="1"/>
    <n v="5"/>
    <n v="4500"/>
    <n v="22500"/>
    <s v="High"/>
    <s v="Bank"/>
  </r>
  <r>
    <d v="2024-08-22T00:00:00"/>
    <x v="5"/>
    <x v="2"/>
    <x v="1"/>
    <n v="8"/>
    <n v="150"/>
    <n v="1200"/>
    <s v="Low"/>
    <s v="Bank"/>
  </r>
  <r>
    <d v="2024-09-19T00:00:00"/>
    <x v="5"/>
    <x v="3"/>
    <x v="0"/>
    <n v="10"/>
    <n v="150"/>
    <n v="1500"/>
    <s v="Low"/>
    <s v="Mobile Money"/>
  </r>
  <r>
    <d v="2024-09-18T00:00:00"/>
    <x v="3"/>
    <x v="2"/>
    <x v="1"/>
    <n v="5"/>
    <n v="300"/>
    <n v="1500"/>
    <s v="Low"/>
    <s v="Mobile Money"/>
  </r>
  <r>
    <d v="2024-11-26T00:00:00"/>
    <x v="2"/>
    <x v="2"/>
    <x v="0"/>
    <n v="10"/>
    <n v="150"/>
    <n v="1500"/>
    <s v="Low"/>
    <s v="Bank"/>
  </r>
  <r>
    <d v="2024-09-24T00:00:00"/>
    <x v="4"/>
    <x v="3"/>
    <x v="0"/>
    <n v="6"/>
    <n v="300"/>
    <n v="1800"/>
    <s v="Low"/>
    <s v="Cash"/>
  </r>
  <r>
    <d v="2024-01-22T00:00:00"/>
    <x v="0"/>
    <x v="1"/>
    <x v="2"/>
    <n v="7"/>
    <n v="300"/>
    <n v="2100"/>
    <s v="Low"/>
    <s v="Bank"/>
  </r>
  <r>
    <d v="2024-01-27T00:00:00"/>
    <x v="7"/>
    <x v="1"/>
    <x v="4"/>
    <n v="4"/>
    <n v="4500"/>
    <n v="18000"/>
    <s v="High"/>
    <s v="Mobile Money"/>
  </r>
  <r>
    <d v="2024-07-05T00:00:00"/>
    <x v="2"/>
    <x v="3"/>
    <x v="3"/>
    <n v="1"/>
    <n v="8500"/>
    <n v="8500"/>
    <s v="Low"/>
    <s v="Cash"/>
  </r>
  <r>
    <d v="2024-08-22T00:00:00"/>
    <x v="5"/>
    <x v="2"/>
    <x v="2"/>
    <n v="7"/>
    <n v="3200"/>
    <n v="22400"/>
    <s v="High"/>
    <s v="Cash"/>
  </r>
  <r>
    <d v="2024-11-22T00:00:00"/>
    <x v="1"/>
    <x v="3"/>
    <x v="1"/>
    <n v="1"/>
    <n v="4500"/>
    <n v="4500"/>
    <s v="Low"/>
    <s v="Mobile Money"/>
  </r>
  <r>
    <d v="2024-01-29T00:00:00"/>
    <x v="0"/>
    <x v="1"/>
    <x v="1"/>
    <n v="4"/>
    <n v="150"/>
    <n v="600"/>
    <s v="Low"/>
    <s v="Cash"/>
  </r>
  <r>
    <d v="2024-09-12T00:00:00"/>
    <x v="2"/>
    <x v="3"/>
    <x v="4"/>
    <n v="8"/>
    <n v="150"/>
    <n v="1200"/>
    <s v="Low"/>
    <s v="Cash"/>
  </r>
  <r>
    <d v="2024-04-11T00:00:00"/>
    <x v="7"/>
    <x v="2"/>
    <x v="0"/>
    <n v="8"/>
    <n v="8500"/>
    <n v="68000"/>
    <s v="High"/>
    <s v="Bank"/>
  </r>
  <r>
    <d v="2024-02-13T00:00:00"/>
    <x v="2"/>
    <x v="2"/>
    <x v="0"/>
    <n v="6"/>
    <n v="300"/>
    <n v="1800"/>
    <s v="Low"/>
    <s v="Cash"/>
  </r>
  <r>
    <d v="2024-02-16T00:00:00"/>
    <x v="6"/>
    <x v="4"/>
    <x v="3"/>
    <n v="4"/>
    <n v="300"/>
    <n v="1200"/>
    <s v="Low"/>
    <s v="Bank"/>
  </r>
  <r>
    <d v="2024-09-18T00:00:00"/>
    <x v="4"/>
    <x v="2"/>
    <x v="4"/>
    <n v="5"/>
    <n v="3200"/>
    <n v="16000"/>
    <s v="High"/>
    <s v="Bank"/>
  </r>
  <r>
    <d v="2024-09-07T00:00:00"/>
    <x v="6"/>
    <x v="2"/>
    <x v="2"/>
    <n v="8"/>
    <n v="8500"/>
    <n v="68000"/>
    <s v="High"/>
    <s v="Cash"/>
  </r>
  <r>
    <d v="2024-04-04T00:00:00"/>
    <x v="3"/>
    <x v="3"/>
    <x v="4"/>
    <n v="3"/>
    <n v="4500"/>
    <n v="13500"/>
    <s v="High"/>
    <s v="Cash"/>
  </r>
  <r>
    <d v="2024-10-11T00:00:00"/>
    <x v="2"/>
    <x v="0"/>
    <x v="0"/>
    <n v="5"/>
    <n v="8500"/>
    <n v="42500"/>
    <s v="High"/>
    <s v="Bank"/>
  </r>
  <r>
    <d v="2024-09-25T00:00:00"/>
    <x v="4"/>
    <x v="0"/>
    <x v="2"/>
    <n v="4"/>
    <n v="300"/>
    <n v="1200"/>
    <s v="Low"/>
    <s v="Cash"/>
  </r>
  <r>
    <d v="2024-07-20T00:00:00"/>
    <x v="6"/>
    <x v="4"/>
    <x v="3"/>
    <n v="3"/>
    <n v="4500"/>
    <n v="13500"/>
    <s v="High"/>
    <s v="Cash"/>
  </r>
  <r>
    <d v="2024-09-24T00:00:00"/>
    <x v="2"/>
    <x v="0"/>
    <x v="3"/>
    <n v="6"/>
    <n v="3200"/>
    <n v="19200"/>
    <s v="High"/>
    <s v="Mobile Money"/>
  </r>
  <r>
    <d v="2024-05-30T00:00:00"/>
    <x v="7"/>
    <x v="1"/>
    <x v="4"/>
    <n v="3"/>
    <n v="3200"/>
    <n v="9600"/>
    <s v="Low"/>
    <s v="Cash"/>
  </r>
  <r>
    <d v="2024-01-06T00:00:00"/>
    <x v="0"/>
    <x v="3"/>
    <x v="2"/>
    <n v="1"/>
    <n v="8500"/>
    <n v="8500"/>
    <s v="Low"/>
    <s v="Mobile Money"/>
  </r>
  <r>
    <d v="2024-09-17T00:00:00"/>
    <x v="6"/>
    <x v="2"/>
    <x v="2"/>
    <n v="5"/>
    <n v="4500"/>
    <n v="22500"/>
    <s v="High"/>
    <s v="Cash"/>
  </r>
  <r>
    <d v="2024-04-26T00:00:00"/>
    <x v="4"/>
    <x v="2"/>
    <x v="4"/>
    <n v="5"/>
    <n v="4500"/>
    <n v="22500"/>
    <s v="High"/>
    <s v="Mobile Money"/>
  </r>
  <r>
    <d v="2024-04-17T00:00:00"/>
    <x v="4"/>
    <x v="3"/>
    <x v="3"/>
    <n v="5"/>
    <n v="8500"/>
    <n v="42500"/>
    <s v="High"/>
    <s v="Bank"/>
  </r>
  <r>
    <d v="2024-04-12T00:00:00"/>
    <x v="7"/>
    <x v="1"/>
    <x v="3"/>
    <n v="4"/>
    <n v="3200"/>
    <n v="12800"/>
    <s v="High"/>
    <s v="Mobile Money"/>
  </r>
  <r>
    <d v="2024-04-15T00:00:00"/>
    <x v="7"/>
    <x v="3"/>
    <x v="1"/>
    <n v="7"/>
    <n v="3200"/>
    <n v="22400"/>
    <s v="High"/>
    <s v="Cash"/>
  </r>
  <r>
    <d v="2024-12-07T00:00:00"/>
    <x v="2"/>
    <x v="4"/>
    <x v="4"/>
    <n v="5"/>
    <n v="150"/>
    <n v="750"/>
    <s v="Low"/>
    <s v="Cash"/>
  </r>
  <r>
    <d v="2024-11-09T00:00:00"/>
    <x v="3"/>
    <x v="2"/>
    <x v="0"/>
    <n v="3"/>
    <n v="8500"/>
    <n v="25500"/>
    <s v="High"/>
    <s v="Mobile Money"/>
  </r>
  <r>
    <d v="2024-03-08T00:00:00"/>
    <x v="2"/>
    <x v="1"/>
    <x v="1"/>
    <n v="7"/>
    <n v="300"/>
    <n v="2100"/>
    <s v="Low"/>
    <s v="Bank"/>
  </r>
  <r>
    <d v="2024-09-21T00:00:00"/>
    <x v="0"/>
    <x v="2"/>
    <x v="4"/>
    <n v="7"/>
    <n v="150"/>
    <n v="1050"/>
    <s v="Low"/>
    <s v="Bank"/>
  </r>
  <r>
    <d v="2024-11-29T00:00:00"/>
    <x v="4"/>
    <x v="4"/>
    <x v="4"/>
    <n v="8"/>
    <n v="8500"/>
    <n v="68000"/>
    <s v="High"/>
    <s v="Cash"/>
  </r>
  <r>
    <d v="2024-11-28T00:00:00"/>
    <x v="7"/>
    <x v="1"/>
    <x v="2"/>
    <n v="10"/>
    <n v="8500"/>
    <n v="85000"/>
    <s v="High"/>
    <s v="Mobile Money"/>
  </r>
  <r>
    <d v="2024-09-20T00:00:00"/>
    <x v="6"/>
    <x v="1"/>
    <x v="2"/>
    <n v="3"/>
    <n v="4500"/>
    <n v="13500"/>
    <s v="High"/>
    <s v="Mobile Money"/>
  </r>
  <r>
    <d v="2024-08-19T00:00:00"/>
    <x v="0"/>
    <x v="4"/>
    <x v="3"/>
    <n v="5"/>
    <n v="4500"/>
    <n v="22500"/>
    <s v="High"/>
    <s v="Cash"/>
  </r>
  <r>
    <d v="2024-12-20T00:00:00"/>
    <x v="2"/>
    <x v="2"/>
    <x v="0"/>
    <n v="8"/>
    <n v="3200"/>
    <n v="25600"/>
    <s v="High"/>
    <s v="Bank"/>
  </r>
  <r>
    <d v="2024-01-13T00:00:00"/>
    <x v="5"/>
    <x v="2"/>
    <x v="0"/>
    <n v="2"/>
    <n v="300"/>
    <n v="600"/>
    <s v="Low"/>
    <s v="Bank"/>
  </r>
  <r>
    <d v="2024-03-11T00:00:00"/>
    <x v="2"/>
    <x v="2"/>
    <x v="2"/>
    <n v="7"/>
    <n v="300"/>
    <n v="2100"/>
    <s v="Low"/>
    <s v="Mobile Money"/>
  </r>
  <r>
    <d v="2024-02-05T00:00:00"/>
    <x v="1"/>
    <x v="3"/>
    <x v="4"/>
    <n v="1"/>
    <n v="4500"/>
    <n v="4500"/>
    <s v="Low"/>
    <s v="Cash"/>
  </r>
  <r>
    <d v="2024-04-03T00:00:00"/>
    <x v="5"/>
    <x v="3"/>
    <x v="0"/>
    <n v="5"/>
    <n v="8500"/>
    <n v="42500"/>
    <s v="High"/>
    <s v="Mobile Money"/>
  </r>
  <r>
    <d v="2024-08-27T00:00:00"/>
    <x v="0"/>
    <x v="3"/>
    <x v="2"/>
    <n v="2"/>
    <n v="300"/>
    <n v="600"/>
    <s v="Low"/>
    <s v="Mobile Money"/>
  </r>
  <r>
    <d v="2024-11-25T00:00:00"/>
    <x v="6"/>
    <x v="0"/>
    <x v="2"/>
    <n v="5"/>
    <n v="4500"/>
    <n v="22500"/>
    <s v="High"/>
    <s v="Bank"/>
  </r>
  <r>
    <d v="2024-12-27T00:00:00"/>
    <x v="4"/>
    <x v="3"/>
    <x v="0"/>
    <n v="7"/>
    <n v="4500"/>
    <n v="31500"/>
    <s v="High"/>
    <s v="Cash"/>
  </r>
  <r>
    <d v="2024-08-20T00:00:00"/>
    <x v="5"/>
    <x v="2"/>
    <x v="4"/>
    <n v="1"/>
    <n v="300"/>
    <n v="300"/>
    <s v="Low"/>
    <s v="Cash"/>
  </r>
  <r>
    <d v="2024-11-06T00:00:00"/>
    <x v="3"/>
    <x v="2"/>
    <x v="4"/>
    <n v="5"/>
    <n v="8500"/>
    <n v="42500"/>
    <s v="High"/>
    <s v="Mobile Money"/>
  </r>
  <r>
    <d v="2024-09-21T00:00:00"/>
    <x v="3"/>
    <x v="0"/>
    <x v="2"/>
    <n v="5"/>
    <n v="8500"/>
    <n v="42500"/>
    <s v="High"/>
    <s v="Bank"/>
  </r>
  <r>
    <d v="2024-06-29T00:00:00"/>
    <x v="3"/>
    <x v="1"/>
    <x v="3"/>
    <n v="2"/>
    <n v="4500"/>
    <n v="9000"/>
    <s v="Low"/>
    <s v="Cash"/>
  </r>
  <r>
    <d v="2024-04-03T00:00:00"/>
    <x v="2"/>
    <x v="3"/>
    <x v="1"/>
    <n v="10"/>
    <n v="3200"/>
    <n v="32000"/>
    <s v="High"/>
    <s v="Cash"/>
  </r>
  <r>
    <d v="2024-12-17T00:00:00"/>
    <x v="6"/>
    <x v="3"/>
    <x v="0"/>
    <n v="10"/>
    <n v="150"/>
    <n v="1500"/>
    <s v="Low"/>
    <s v="Cash"/>
  </r>
  <r>
    <d v="2024-01-26T00:00:00"/>
    <x v="6"/>
    <x v="0"/>
    <x v="4"/>
    <n v="8"/>
    <n v="300"/>
    <n v="2400"/>
    <s v="Low"/>
    <s v="Mobile Money"/>
  </r>
  <r>
    <d v="2024-05-28T00:00:00"/>
    <x v="1"/>
    <x v="0"/>
    <x v="3"/>
    <n v="8"/>
    <n v="8500"/>
    <n v="68000"/>
    <s v="High"/>
    <s v="Cash"/>
  </r>
  <r>
    <d v="2024-05-11T00:00:00"/>
    <x v="6"/>
    <x v="0"/>
    <x v="2"/>
    <n v="7"/>
    <n v="3200"/>
    <n v="22400"/>
    <s v="High"/>
    <s v="Mobile Money"/>
  </r>
  <r>
    <d v="2024-11-08T00:00:00"/>
    <x v="4"/>
    <x v="4"/>
    <x v="4"/>
    <n v="5"/>
    <n v="4500"/>
    <n v="22500"/>
    <s v="High"/>
    <s v="Bank"/>
  </r>
  <r>
    <d v="2024-05-14T00:00:00"/>
    <x v="6"/>
    <x v="3"/>
    <x v="4"/>
    <n v="9"/>
    <n v="8500"/>
    <n v="76500"/>
    <s v="High"/>
    <s v="Cash"/>
  </r>
  <r>
    <d v="2024-04-09T00:00:00"/>
    <x v="6"/>
    <x v="4"/>
    <x v="2"/>
    <n v="6"/>
    <n v="8500"/>
    <n v="51000"/>
    <s v="High"/>
    <s v="Bank"/>
  </r>
  <r>
    <d v="2024-11-11T00:00:00"/>
    <x v="2"/>
    <x v="1"/>
    <x v="2"/>
    <n v="7"/>
    <n v="4500"/>
    <n v="31500"/>
    <s v="High"/>
    <s v="Bank"/>
  </r>
  <r>
    <d v="2024-12-20T00:00:00"/>
    <x v="6"/>
    <x v="1"/>
    <x v="1"/>
    <n v="7"/>
    <n v="4500"/>
    <n v="31500"/>
    <s v="High"/>
    <s v="Mobile Money"/>
  </r>
  <r>
    <d v="2024-06-30T00:00:00"/>
    <x v="4"/>
    <x v="4"/>
    <x v="4"/>
    <n v="2"/>
    <n v="150"/>
    <n v="300"/>
    <s v="Low"/>
    <s v="Cash"/>
  </r>
  <r>
    <d v="2024-02-07T00:00:00"/>
    <x v="7"/>
    <x v="2"/>
    <x v="4"/>
    <n v="8"/>
    <n v="8500"/>
    <n v="68000"/>
    <s v="High"/>
    <s v="Cash"/>
  </r>
  <r>
    <d v="2024-08-11T00:00:00"/>
    <x v="6"/>
    <x v="1"/>
    <x v="4"/>
    <n v="2"/>
    <n v="8500"/>
    <n v="17000"/>
    <s v="High"/>
    <s v="Mobile Money"/>
  </r>
  <r>
    <d v="2024-03-02T00:00:00"/>
    <x v="4"/>
    <x v="2"/>
    <x v="3"/>
    <n v="3"/>
    <n v="8500"/>
    <n v="25500"/>
    <s v="High"/>
    <s v="Bank"/>
  </r>
  <r>
    <d v="2024-10-02T00:00:00"/>
    <x v="5"/>
    <x v="3"/>
    <x v="4"/>
    <n v="2"/>
    <n v="3200"/>
    <n v="6400"/>
    <s v="Low"/>
    <s v="Cash"/>
  </r>
  <r>
    <d v="2024-10-30T00:00:00"/>
    <x v="5"/>
    <x v="3"/>
    <x v="0"/>
    <n v="6"/>
    <n v="8500"/>
    <n v="51000"/>
    <s v="High"/>
    <s v="Mobile Money"/>
  </r>
  <r>
    <d v="2024-12-08T00:00:00"/>
    <x v="0"/>
    <x v="3"/>
    <x v="0"/>
    <n v="2"/>
    <n v="300"/>
    <n v="600"/>
    <s v="Low"/>
    <s v="Mobile Money"/>
  </r>
  <r>
    <d v="2024-06-05T00:00:00"/>
    <x v="7"/>
    <x v="0"/>
    <x v="3"/>
    <n v="3"/>
    <n v="300"/>
    <n v="900"/>
    <s v="Low"/>
    <s v="Bank"/>
  </r>
  <r>
    <d v="2024-10-28T00:00:00"/>
    <x v="0"/>
    <x v="2"/>
    <x v="1"/>
    <n v="9"/>
    <n v="3200"/>
    <n v="28800"/>
    <s v="High"/>
    <s v="Bank"/>
  </r>
  <r>
    <d v="2024-02-06T00:00:00"/>
    <x v="6"/>
    <x v="0"/>
    <x v="3"/>
    <n v="9"/>
    <n v="150"/>
    <n v="1350"/>
    <s v="Low"/>
    <s v="Bank"/>
  </r>
  <r>
    <d v="2024-08-08T00:00:00"/>
    <x v="7"/>
    <x v="3"/>
    <x v="4"/>
    <n v="1"/>
    <n v="3200"/>
    <n v="3200"/>
    <s v="Low"/>
    <s v="Bank"/>
  </r>
  <r>
    <d v="2024-08-09T00:00:00"/>
    <x v="2"/>
    <x v="3"/>
    <x v="0"/>
    <n v="9"/>
    <n v="8500"/>
    <n v="76500"/>
    <s v="High"/>
    <s v="Bank"/>
  </r>
  <r>
    <d v="2024-10-25T00:00:00"/>
    <x v="3"/>
    <x v="0"/>
    <x v="0"/>
    <n v="6"/>
    <n v="300"/>
    <n v="1800"/>
    <s v="Low"/>
    <s v="Bank"/>
  </r>
  <r>
    <d v="2024-07-11T00:00:00"/>
    <x v="5"/>
    <x v="4"/>
    <x v="1"/>
    <n v="9"/>
    <n v="300"/>
    <n v="2700"/>
    <s v="Low"/>
    <s v="Bank"/>
  </r>
  <r>
    <d v="2024-08-04T00:00:00"/>
    <x v="6"/>
    <x v="1"/>
    <x v="3"/>
    <n v="6"/>
    <n v="150"/>
    <n v="900"/>
    <s v="Low"/>
    <s v="Cash"/>
  </r>
  <r>
    <d v="2024-03-17T00:00:00"/>
    <x v="3"/>
    <x v="2"/>
    <x v="2"/>
    <n v="5"/>
    <n v="3200"/>
    <n v="16000"/>
    <s v="High"/>
    <s v="Mobile Money"/>
  </r>
  <r>
    <d v="2024-02-05T00:00:00"/>
    <x v="2"/>
    <x v="1"/>
    <x v="0"/>
    <n v="7"/>
    <n v="4500"/>
    <n v="31500"/>
    <s v="High"/>
    <s v="Mobile Money"/>
  </r>
  <r>
    <d v="2024-12-05T00:00:00"/>
    <x v="1"/>
    <x v="3"/>
    <x v="1"/>
    <n v="9"/>
    <n v="300"/>
    <n v="2700"/>
    <s v="Low"/>
    <s v="Mobile Money"/>
  </r>
  <r>
    <d v="2024-02-19T00:00:00"/>
    <x v="4"/>
    <x v="4"/>
    <x v="0"/>
    <n v="2"/>
    <n v="150"/>
    <n v="300"/>
    <s v="Low"/>
    <s v="Cash"/>
  </r>
  <r>
    <d v="2024-09-13T00:00:00"/>
    <x v="5"/>
    <x v="2"/>
    <x v="1"/>
    <n v="10"/>
    <n v="300"/>
    <n v="3000"/>
    <s v="Low"/>
    <s v="Mobile Money"/>
  </r>
  <r>
    <d v="2024-08-19T00:00:00"/>
    <x v="6"/>
    <x v="4"/>
    <x v="2"/>
    <n v="8"/>
    <n v="150"/>
    <n v="1200"/>
    <s v="Low"/>
    <s v="Cash"/>
  </r>
  <r>
    <d v="2024-02-12T00:00:00"/>
    <x v="1"/>
    <x v="4"/>
    <x v="4"/>
    <n v="3"/>
    <n v="4500"/>
    <n v="13500"/>
    <s v="High"/>
    <s v="Cash"/>
  </r>
  <r>
    <d v="2024-09-21T00:00:00"/>
    <x v="4"/>
    <x v="1"/>
    <x v="3"/>
    <n v="7"/>
    <n v="8500"/>
    <n v="59500"/>
    <s v="High"/>
    <s v="Bank"/>
  </r>
  <r>
    <d v="2024-11-12T00:00:00"/>
    <x v="5"/>
    <x v="3"/>
    <x v="3"/>
    <n v="7"/>
    <n v="3200"/>
    <n v="22400"/>
    <s v="High"/>
    <s v="Cash"/>
  </r>
  <r>
    <d v="2024-11-16T00:00:00"/>
    <x v="1"/>
    <x v="3"/>
    <x v="0"/>
    <n v="10"/>
    <n v="3200"/>
    <n v="32000"/>
    <s v="High"/>
    <s v="Cash"/>
  </r>
  <r>
    <d v="2024-04-13T00:00:00"/>
    <x v="7"/>
    <x v="2"/>
    <x v="0"/>
    <n v="2"/>
    <n v="300"/>
    <n v="600"/>
    <s v="Low"/>
    <s v="Mobile Money"/>
  </r>
  <r>
    <d v="2024-12-05T00:00:00"/>
    <x v="7"/>
    <x v="0"/>
    <x v="4"/>
    <n v="1"/>
    <n v="300"/>
    <n v="300"/>
    <s v="Low"/>
    <s v="Bank"/>
  </r>
  <r>
    <d v="2024-11-26T00:00:00"/>
    <x v="2"/>
    <x v="1"/>
    <x v="4"/>
    <n v="2"/>
    <n v="8500"/>
    <n v="17000"/>
    <s v="High"/>
    <s v="Cash"/>
  </r>
  <r>
    <d v="2024-10-29T00:00:00"/>
    <x v="6"/>
    <x v="1"/>
    <x v="0"/>
    <n v="9"/>
    <n v="8500"/>
    <n v="76500"/>
    <s v="High"/>
    <s v="Bank"/>
  </r>
  <r>
    <d v="2024-10-31T00:00:00"/>
    <x v="4"/>
    <x v="4"/>
    <x v="1"/>
    <n v="8"/>
    <n v="300"/>
    <n v="2400"/>
    <s v="Low"/>
    <s v="Mobile Money"/>
  </r>
  <r>
    <d v="2024-01-26T00:00:00"/>
    <x v="7"/>
    <x v="0"/>
    <x v="3"/>
    <n v="9"/>
    <n v="150"/>
    <n v="1350"/>
    <s v="Low"/>
    <s v="Mobile Money"/>
  </r>
  <r>
    <d v="2024-01-31T00:00:00"/>
    <x v="4"/>
    <x v="1"/>
    <x v="3"/>
    <n v="6"/>
    <n v="3200"/>
    <n v="19200"/>
    <s v="High"/>
    <s v="Bank"/>
  </r>
  <r>
    <d v="2024-08-30T00:00:00"/>
    <x v="3"/>
    <x v="1"/>
    <x v="4"/>
    <n v="9"/>
    <n v="3200"/>
    <n v="28800"/>
    <s v="High"/>
    <s v="Bank"/>
  </r>
  <r>
    <d v="2024-06-21T00:00:00"/>
    <x v="5"/>
    <x v="3"/>
    <x v="2"/>
    <n v="6"/>
    <n v="8500"/>
    <n v="51000"/>
    <s v="High"/>
    <s v="Cash"/>
  </r>
  <r>
    <d v="2024-05-28T00:00:00"/>
    <x v="4"/>
    <x v="2"/>
    <x v="4"/>
    <n v="6"/>
    <n v="4500"/>
    <n v="27000"/>
    <s v="High"/>
    <s v="Bank"/>
  </r>
  <r>
    <d v="2024-01-19T00:00:00"/>
    <x v="1"/>
    <x v="2"/>
    <x v="4"/>
    <n v="9"/>
    <n v="8500"/>
    <n v="76500"/>
    <s v="High"/>
    <s v="Bank"/>
  </r>
  <r>
    <d v="2024-05-13T00:00:00"/>
    <x v="4"/>
    <x v="2"/>
    <x v="1"/>
    <n v="10"/>
    <n v="8500"/>
    <n v="85000"/>
    <s v="High"/>
    <s v="Bank"/>
  </r>
  <r>
    <d v="2024-09-23T00:00:00"/>
    <x v="2"/>
    <x v="2"/>
    <x v="3"/>
    <n v="1"/>
    <n v="150"/>
    <n v="150"/>
    <s v="Low"/>
    <s v="Mobile Money"/>
  </r>
  <r>
    <d v="2024-06-30T00:00:00"/>
    <x v="0"/>
    <x v="3"/>
    <x v="1"/>
    <n v="2"/>
    <n v="3200"/>
    <n v="6400"/>
    <s v="Low"/>
    <s v="Bank"/>
  </r>
  <r>
    <d v="2024-12-29T00:00:00"/>
    <x v="4"/>
    <x v="4"/>
    <x v="1"/>
    <n v="4"/>
    <n v="150"/>
    <n v="600"/>
    <s v="Low"/>
    <s v="Mobile Money"/>
  </r>
  <r>
    <d v="2024-12-08T00:00:00"/>
    <x v="6"/>
    <x v="0"/>
    <x v="0"/>
    <n v="9"/>
    <n v="150"/>
    <n v="1350"/>
    <s v="Low"/>
    <s v="Mobile Money"/>
  </r>
  <r>
    <d v="2024-07-03T00:00:00"/>
    <x v="3"/>
    <x v="0"/>
    <x v="4"/>
    <n v="5"/>
    <n v="300"/>
    <n v="1500"/>
    <s v="Low"/>
    <s v="Mobile Money"/>
  </r>
  <r>
    <d v="2024-03-06T00:00:00"/>
    <x v="7"/>
    <x v="3"/>
    <x v="0"/>
    <n v="5"/>
    <n v="8500"/>
    <n v="42500"/>
    <s v="High"/>
    <s v="Mobile Money"/>
  </r>
  <r>
    <d v="2024-07-24T00:00:00"/>
    <x v="2"/>
    <x v="2"/>
    <x v="1"/>
    <n v="5"/>
    <n v="300"/>
    <n v="1500"/>
    <s v="Low"/>
    <s v="Bank"/>
  </r>
  <r>
    <d v="2024-03-07T00:00:00"/>
    <x v="1"/>
    <x v="2"/>
    <x v="0"/>
    <n v="8"/>
    <n v="150"/>
    <n v="1200"/>
    <s v="Low"/>
    <s v="Bank"/>
  </r>
  <r>
    <d v="2024-05-20T00:00:00"/>
    <x v="5"/>
    <x v="4"/>
    <x v="4"/>
    <n v="1"/>
    <n v="300"/>
    <n v="300"/>
    <s v="Low"/>
    <s v="Cash"/>
  </r>
  <r>
    <d v="2024-07-27T00:00:00"/>
    <x v="4"/>
    <x v="2"/>
    <x v="3"/>
    <n v="2"/>
    <n v="8500"/>
    <n v="17000"/>
    <s v="High"/>
    <s v="Bank"/>
  </r>
  <r>
    <d v="2024-01-25T00:00:00"/>
    <x v="5"/>
    <x v="3"/>
    <x v="1"/>
    <n v="5"/>
    <n v="3200"/>
    <n v="16000"/>
    <s v="High"/>
    <s v="Bank"/>
  </r>
  <r>
    <d v="2024-01-29T00:00:00"/>
    <x v="6"/>
    <x v="1"/>
    <x v="3"/>
    <n v="5"/>
    <n v="150"/>
    <n v="750"/>
    <s v="Low"/>
    <s v="Mobile Money"/>
  </r>
  <r>
    <d v="2024-08-28T00:00:00"/>
    <x v="5"/>
    <x v="1"/>
    <x v="3"/>
    <n v="8"/>
    <n v="3200"/>
    <n v="25600"/>
    <s v="High"/>
    <s v="Mobile Money"/>
  </r>
  <r>
    <d v="2024-08-31T00:00:00"/>
    <x v="0"/>
    <x v="4"/>
    <x v="4"/>
    <n v="7"/>
    <n v="3200"/>
    <n v="22400"/>
    <s v="High"/>
    <s v="Cash"/>
  </r>
  <r>
    <d v="2024-09-06T00:00:00"/>
    <x v="3"/>
    <x v="0"/>
    <x v="2"/>
    <n v="4"/>
    <n v="8500"/>
    <n v="34000"/>
    <s v="High"/>
    <s v="Mobile Money"/>
  </r>
  <r>
    <d v="2024-03-29T00:00:00"/>
    <x v="4"/>
    <x v="4"/>
    <x v="4"/>
    <n v="6"/>
    <n v="4500"/>
    <n v="27000"/>
    <s v="High"/>
    <s v="Bank"/>
  </r>
  <r>
    <d v="2024-03-12T00:00:00"/>
    <x v="5"/>
    <x v="3"/>
    <x v="3"/>
    <n v="9"/>
    <n v="8500"/>
    <n v="76500"/>
    <s v="High"/>
    <s v="Bank"/>
  </r>
  <r>
    <d v="2024-11-12T00:00:00"/>
    <x v="7"/>
    <x v="0"/>
    <x v="3"/>
    <n v="2"/>
    <n v="3200"/>
    <n v="6400"/>
    <s v="Low"/>
    <s v="Ban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9">
    <pivotField numFmtId="14"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dataField="1" numFmtId="2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9">
    <pivotField numFmtId="14" showAll="0"/>
    <pivotField showAll="0"/>
    <pivotField showAll="0"/>
    <pivotField axis="axisRow" showAll="0" sortType="ascending">
      <items count="6">
        <item x="0"/>
        <item x="4"/>
        <item x="3"/>
        <item x="1"/>
        <item x="2"/>
        <item t="default"/>
      </items>
    </pivotField>
    <pivotField showAll="0"/>
    <pivotField showAll="0"/>
    <pivotField dataField="1" numFmtId="2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" firstHeaderRow="1" firstDataRow="1" firstDataCol="1"/>
  <pivotFields count="9">
    <pivotField numFmtId="14" showAll="0"/>
    <pivotField axis="axisRow" showAll="0" measureFilter="1">
      <items count="9">
        <item x="3"/>
        <item x="6"/>
        <item x="2"/>
        <item x="0"/>
        <item x="5"/>
        <item x="1"/>
        <item x="4"/>
        <item x="7"/>
        <item t="default"/>
      </items>
    </pivotField>
    <pivotField showAll="0"/>
    <pivotField showAll="0"/>
    <pivotField showAll="0"/>
    <pivotField showAll="0"/>
    <pivotField numFmtId="2" showAll="0"/>
    <pivotField dataField="1" showAll="0"/>
    <pivotField showAll="0"/>
  </pivotFields>
  <rowFields count="1">
    <field x="1"/>
  </rowFields>
  <rowItems count="2">
    <i>
      <x v="2"/>
    </i>
    <i t="grand">
      <x/>
    </i>
  </rowItems>
  <colItems count="1">
    <i/>
  </colItems>
  <dataFields count="1">
    <dataField name="Count of Sales category" fld="7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001" totalsRowShown="0">
  <autoFilter ref="A1:I1001"/>
  <tableColumns count="9">
    <tableColumn id="1" name="Date" dataDxfId="1"/>
    <tableColumn id="2" name="Sales person"/>
    <tableColumn id="3" name="Region"/>
    <tableColumn id="4" name="Mouse"/>
    <tableColumn id="5" name="Quantity Sold"/>
    <tableColumn id="6" name="Unit Price"/>
    <tableColumn id="7" name="Total Sales" dataDxfId="0">
      <calculatedColumnFormula>E2*F2</calculatedColumnFormula>
    </tableColumn>
    <tableColumn id="8" name="Sales category">
      <calculatedColumnFormula>IF(G2&gt;=10000,"High","Low")</calculatedColumnFormula>
    </tableColumn>
    <tableColumn id="9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17" sqref="D17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4" t="s">
        <v>29</v>
      </c>
      <c r="B3" t="s">
        <v>31</v>
      </c>
    </row>
    <row r="4" spans="1:2" x14ac:dyDescent="0.25">
      <c r="A4" s="5" t="s">
        <v>6</v>
      </c>
      <c r="B4" s="6">
        <v>3250350</v>
      </c>
    </row>
    <row r="5" spans="1:2" x14ac:dyDescent="0.25">
      <c r="A5" s="5" t="s">
        <v>22</v>
      </c>
      <c r="B5" s="6">
        <v>3631950</v>
      </c>
    </row>
    <row r="6" spans="1:2" x14ac:dyDescent="0.25">
      <c r="A6" s="5" t="s">
        <v>21</v>
      </c>
      <c r="B6" s="6">
        <v>3762700</v>
      </c>
    </row>
    <row r="7" spans="1:2" x14ac:dyDescent="0.25">
      <c r="A7" s="5" t="s">
        <v>16</v>
      </c>
      <c r="B7" s="6">
        <v>3753000</v>
      </c>
    </row>
    <row r="8" spans="1:2" x14ac:dyDescent="0.25">
      <c r="A8" s="5" t="s">
        <v>13</v>
      </c>
      <c r="B8" s="6">
        <v>4031250</v>
      </c>
    </row>
    <row r="9" spans="1:2" x14ac:dyDescent="0.25">
      <c r="A9" s="5" t="s">
        <v>30</v>
      </c>
      <c r="B9" s="6">
        <v>18429250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14" sqref="A14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4" t="s">
        <v>29</v>
      </c>
      <c r="B3" t="s">
        <v>31</v>
      </c>
    </row>
    <row r="4" spans="1:2" x14ac:dyDescent="0.25">
      <c r="A4" s="5" t="s">
        <v>10</v>
      </c>
      <c r="B4" s="6">
        <v>4095700</v>
      </c>
    </row>
    <row r="5" spans="1:2" x14ac:dyDescent="0.25">
      <c r="A5" s="5" t="s">
        <v>20</v>
      </c>
      <c r="B5" s="6">
        <v>3827350</v>
      </c>
    </row>
    <row r="6" spans="1:2" x14ac:dyDescent="0.25">
      <c r="A6" s="5" t="s">
        <v>18</v>
      </c>
      <c r="B6" s="6">
        <v>3205100</v>
      </c>
    </row>
    <row r="7" spans="1:2" x14ac:dyDescent="0.25">
      <c r="A7" s="5" t="s">
        <v>7</v>
      </c>
      <c r="B7" s="6">
        <v>3524450</v>
      </c>
    </row>
    <row r="8" spans="1:2" x14ac:dyDescent="0.25">
      <c r="A8" s="5" t="s">
        <v>17</v>
      </c>
      <c r="B8" s="6">
        <v>3776650</v>
      </c>
    </row>
    <row r="9" spans="1:2" x14ac:dyDescent="0.25">
      <c r="A9" s="5" t="s">
        <v>30</v>
      </c>
      <c r="B9" s="6">
        <v>18429250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22" bestFit="1" customWidth="1"/>
  </cols>
  <sheetData>
    <row r="3" spans="1:2" x14ac:dyDescent="0.25">
      <c r="A3" s="4" t="s">
        <v>29</v>
      </c>
      <c r="B3" t="s">
        <v>32</v>
      </c>
    </row>
    <row r="4" spans="1:2" x14ac:dyDescent="0.25">
      <c r="A4" s="5" t="s">
        <v>12</v>
      </c>
      <c r="B4" s="6">
        <v>140</v>
      </c>
    </row>
    <row r="5" spans="1:2" x14ac:dyDescent="0.25">
      <c r="A5" s="5" t="s">
        <v>30</v>
      </c>
      <c r="B5" s="6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topLeftCell="A2" workbookViewId="0"/>
  </sheetViews>
  <sheetFormatPr defaultRowHeight="15" x14ac:dyDescent="0.25"/>
  <cols>
    <col min="1" max="1" width="10.7109375" style="1" bestFit="1" customWidth="1"/>
    <col min="2" max="6" width="25" customWidth="1"/>
    <col min="7" max="7" width="25" style="2" customWidth="1"/>
    <col min="8" max="9" width="25" customWidth="1"/>
    <col min="12" max="12" width="25" customWidth="1"/>
    <col min="13" max="13" width="25" style="2" customWidth="1"/>
  </cols>
  <sheetData>
    <row r="1" spans="1:13" x14ac:dyDescent="0.25">
      <c r="A1" s="1" t="s">
        <v>0</v>
      </c>
      <c r="B1" t="s">
        <v>28</v>
      </c>
      <c r="C1" t="s">
        <v>1</v>
      </c>
      <c r="D1" t="s">
        <v>7</v>
      </c>
      <c r="E1" t="s">
        <v>2</v>
      </c>
      <c r="F1" t="s">
        <v>3</v>
      </c>
      <c r="G1" s="2" t="s">
        <v>4</v>
      </c>
      <c r="H1" t="s">
        <v>27</v>
      </c>
      <c r="I1" t="s">
        <v>5</v>
      </c>
      <c r="L1" t="s">
        <v>28</v>
      </c>
      <c r="M1" s="2" t="s">
        <v>4</v>
      </c>
    </row>
    <row r="2" spans="1:13" ht="15.75" x14ac:dyDescent="0.3">
      <c r="A2" s="1">
        <v>45486</v>
      </c>
      <c r="B2" t="s">
        <v>25</v>
      </c>
      <c r="C2" t="s">
        <v>6</v>
      </c>
      <c r="D2" t="s">
        <v>10</v>
      </c>
      <c r="E2">
        <v>9</v>
      </c>
      <c r="F2">
        <v>150</v>
      </c>
      <c r="G2" s="2">
        <f>E2*F2</f>
        <v>1350</v>
      </c>
      <c r="H2" t="str">
        <f>IF(G2&gt;=10000,"High","Low")</f>
        <v>Low</v>
      </c>
      <c r="I2" t="s">
        <v>8</v>
      </c>
      <c r="L2" t="s">
        <v>25</v>
      </c>
      <c r="M2" s="3">
        <f>SUMIF(B:B,L2,G:G)</f>
        <v>2243250</v>
      </c>
    </row>
    <row r="3" spans="1:13" ht="15.75" x14ac:dyDescent="0.3">
      <c r="A3" s="1">
        <v>45365</v>
      </c>
      <c r="B3" t="s">
        <v>9</v>
      </c>
      <c r="C3" t="s">
        <v>6</v>
      </c>
      <c r="D3" t="s">
        <v>7</v>
      </c>
      <c r="E3">
        <v>7</v>
      </c>
      <c r="F3">
        <v>300</v>
      </c>
      <c r="G3" s="2">
        <f t="shared" ref="G3:G66" si="0">E3*F3</f>
        <v>2100</v>
      </c>
      <c r="H3" t="str">
        <f t="shared" ref="H3:H66" si="1">IF(G3&gt;=10000,"High","Low")</f>
        <v>Low</v>
      </c>
      <c r="I3" t="s">
        <v>11</v>
      </c>
      <c r="L3" t="s">
        <v>9</v>
      </c>
      <c r="M3" s="3">
        <f t="shared" ref="M3:M66" si="2">SUMIF(B:B,L3,G:G)</f>
        <v>1849750</v>
      </c>
    </row>
    <row r="4" spans="1:13" ht="15.75" x14ac:dyDescent="0.3">
      <c r="A4" s="1">
        <v>45432</v>
      </c>
      <c r="B4" t="s">
        <v>12</v>
      </c>
      <c r="C4" t="s">
        <v>13</v>
      </c>
      <c r="D4" t="s">
        <v>10</v>
      </c>
      <c r="E4">
        <v>8</v>
      </c>
      <c r="F4">
        <v>150</v>
      </c>
      <c r="G4" s="2">
        <f t="shared" si="0"/>
        <v>1200</v>
      </c>
      <c r="H4" t="str">
        <f t="shared" si="1"/>
        <v>Low</v>
      </c>
      <c r="I4" t="s">
        <v>14</v>
      </c>
      <c r="L4" t="s">
        <v>12</v>
      </c>
      <c r="M4" s="3">
        <f t="shared" si="2"/>
        <v>2865050</v>
      </c>
    </row>
    <row r="5" spans="1:13" ht="15.75" x14ac:dyDescent="0.3">
      <c r="A5" s="1">
        <v>45361</v>
      </c>
      <c r="B5" t="s">
        <v>15</v>
      </c>
      <c r="C5" t="s">
        <v>16</v>
      </c>
      <c r="D5" t="s">
        <v>17</v>
      </c>
      <c r="E5">
        <v>9</v>
      </c>
      <c r="F5">
        <v>300</v>
      </c>
      <c r="G5" s="2">
        <f t="shared" si="0"/>
        <v>2700</v>
      </c>
      <c r="H5" t="str">
        <f t="shared" si="1"/>
        <v>Low</v>
      </c>
      <c r="I5" t="s">
        <v>8</v>
      </c>
      <c r="L5" t="s">
        <v>15</v>
      </c>
      <c r="M5" s="3">
        <f t="shared" si="2"/>
        <v>2145050</v>
      </c>
    </row>
    <row r="6" spans="1:13" ht="15.75" x14ac:dyDescent="0.3">
      <c r="A6" s="1">
        <v>45576</v>
      </c>
      <c r="B6" t="s">
        <v>15</v>
      </c>
      <c r="C6" t="s">
        <v>16</v>
      </c>
      <c r="D6" t="s">
        <v>17</v>
      </c>
      <c r="E6">
        <v>4</v>
      </c>
      <c r="F6">
        <v>4500</v>
      </c>
      <c r="G6" s="2">
        <f t="shared" si="0"/>
        <v>18000</v>
      </c>
      <c r="H6" t="str">
        <f t="shared" si="1"/>
        <v>High</v>
      </c>
      <c r="I6" t="s">
        <v>11</v>
      </c>
      <c r="L6" t="s">
        <v>15</v>
      </c>
      <c r="M6" s="3">
        <f t="shared" si="2"/>
        <v>2145050</v>
      </c>
    </row>
    <row r="7" spans="1:13" ht="15.75" x14ac:dyDescent="0.3">
      <c r="A7" s="1">
        <v>45457</v>
      </c>
      <c r="B7" t="s">
        <v>15</v>
      </c>
      <c r="C7" t="s">
        <v>6</v>
      </c>
      <c r="D7" t="s">
        <v>10</v>
      </c>
      <c r="E7">
        <v>6</v>
      </c>
      <c r="F7">
        <v>4500</v>
      </c>
      <c r="G7" s="2">
        <f t="shared" si="0"/>
        <v>27000</v>
      </c>
      <c r="H7" t="str">
        <f t="shared" si="1"/>
        <v>High</v>
      </c>
      <c r="I7" t="s">
        <v>11</v>
      </c>
      <c r="L7" t="s">
        <v>15</v>
      </c>
      <c r="M7" s="3">
        <f t="shared" si="2"/>
        <v>2145050</v>
      </c>
    </row>
    <row r="8" spans="1:13" ht="15.75" x14ac:dyDescent="0.3">
      <c r="A8" s="1">
        <v>45309</v>
      </c>
      <c r="B8" t="s">
        <v>12</v>
      </c>
      <c r="C8" t="s">
        <v>16</v>
      </c>
      <c r="D8" t="s">
        <v>18</v>
      </c>
      <c r="E8">
        <v>3</v>
      </c>
      <c r="F8">
        <v>300</v>
      </c>
      <c r="G8" s="2">
        <f t="shared" si="0"/>
        <v>900</v>
      </c>
      <c r="H8" t="str">
        <f t="shared" si="1"/>
        <v>Low</v>
      </c>
      <c r="I8" t="s">
        <v>14</v>
      </c>
      <c r="L8" t="s">
        <v>12</v>
      </c>
      <c r="M8" s="3">
        <f t="shared" si="2"/>
        <v>2865050</v>
      </c>
    </row>
    <row r="9" spans="1:13" ht="15.75" x14ac:dyDescent="0.3">
      <c r="A9" s="1">
        <v>45414</v>
      </c>
      <c r="B9" t="s">
        <v>25</v>
      </c>
      <c r="C9" t="s">
        <v>13</v>
      </c>
      <c r="D9" t="s">
        <v>18</v>
      </c>
      <c r="E9">
        <v>10</v>
      </c>
      <c r="F9">
        <v>3200</v>
      </c>
      <c r="G9" s="2">
        <f t="shared" si="0"/>
        <v>32000</v>
      </c>
      <c r="H9" t="str">
        <f t="shared" si="1"/>
        <v>High</v>
      </c>
      <c r="I9" t="s">
        <v>14</v>
      </c>
      <c r="L9" t="s">
        <v>25</v>
      </c>
      <c r="M9" s="3">
        <f t="shared" si="2"/>
        <v>2243250</v>
      </c>
    </row>
    <row r="10" spans="1:13" ht="15.75" x14ac:dyDescent="0.3">
      <c r="A10" s="1">
        <v>45357</v>
      </c>
      <c r="B10" t="s">
        <v>12</v>
      </c>
      <c r="C10" t="s">
        <v>16</v>
      </c>
      <c r="D10" t="s">
        <v>7</v>
      </c>
      <c r="E10">
        <v>2</v>
      </c>
      <c r="F10">
        <v>3200</v>
      </c>
      <c r="G10" s="2">
        <f t="shared" si="0"/>
        <v>6400</v>
      </c>
      <c r="H10" t="str">
        <f t="shared" si="1"/>
        <v>Low</v>
      </c>
      <c r="I10" t="s">
        <v>11</v>
      </c>
      <c r="L10" t="s">
        <v>12</v>
      </c>
      <c r="M10" s="3">
        <f t="shared" si="2"/>
        <v>2865050</v>
      </c>
    </row>
    <row r="11" spans="1:13" ht="15.75" x14ac:dyDescent="0.3">
      <c r="A11" s="1">
        <v>45325</v>
      </c>
      <c r="B11" t="s">
        <v>26</v>
      </c>
      <c r="C11" t="s">
        <v>6</v>
      </c>
      <c r="D11" t="s">
        <v>20</v>
      </c>
      <c r="E11">
        <v>6</v>
      </c>
      <c r="F11">
        <v>150</v>
      </c>
      <c r="G11" s="2">
        <f t="shared" si="0"/>
        <v>900</v>
      </c>
      <c r="H11" t="str">
        <f t="shared" si="1"/>
        <v>Low</v>
      </c>
      <c r="I11" t="s">
        <v>11</v>
      </c>
      <c r="L11" t="s">
        <v>26</v>
      </c>
      <c r="M11" s="3">
        <f t="shared" si="2"/>
        <v>2430500</v>
      </c>
    </row>
    <row r="12" spans="1:13" ht="15.75" x14ac:dyDescent="0.3">
      <c r="A12" s="1">
        <v>45448</v>
      </c>
      <c r="B12" t="s">
        <v>19</v>
      </c>
      <c r="C12" t="s">
        <v>6</v>
      </c>
      <c r="D12" t="s">
        <v>7</v>
      </c>
      <c r="E12">
        <v>2</v>
      </c>
      <c r="F12">
        <v>8500</v>
      </c>
      <c r="G12" s="2">
        <f t="shared" si="0"/>
        <v>17000</v>
      </c>
      <c r="H12" t="str">
        <f t="shared" si="1"/>
        <v>High</v>
      </c>
      <c r="I12" t="s">
        <v>8</v>
      </c>
      <c r="L12" t="s">
        <v>19</v>
      </c>
      <c r="M12" s="3">
        <f t="shared" si="2"/>
        <v>2179300</v>
      </c>
    </row>
    <row r="13" spans="1:13" ht="15.75" x14ac:dyDescent="0.3">
      <c r="A13" s="1">
        <v>45530</v>
      </c>
      <c r="B13" t="s">
        <v>12</v>
      </c>
      <c r="C13" t="s">
        <v>21</v>
      </c>
      <c r="D13" t="s">
        <v>17</v>
      </c>
      <c r="E13">
        <v>3</v>
      </c>
      <c r="F13">
        <v>150</v>
      </c>
      <c r="G13" s="2">
        <f t="shared" si="0"/>
        <v>450</v>
      </c>
      <c r="H13" t="str">
        <f t="shared" si="1"/>
        <v>Low</v>
      </c>
      <c r="I13" t="s">
        <v>8</v>
      </c>
      <c r="L13" t="s">
        <v>12</v>
      </c>
      <c r="M13" s="3">
        <f t="shared" si="2"/>
        <v>2865050</v>
      </c>
    </row>
    <row r="14" spans="1:13" ht="15.75" x14ac:dyDescent="0.3">
      <c r="A14" s="1">
        <v>45573</v>
      </c>
      <c r="B14" t="s">
        <v>12</v>
      </c>
      <c r="C14" t="s">
        <v>16</v>
      </c>
      <c r="D14" t="s">
        <v>17</v>
      </c>
      <c r="E14">
        <v>6</v>
      </c>
      <c r="F14">
        <v>4500</v>
      </c>
      <c r="G14" s="2">
        <f t="shared" si="0"/>
        <v>27000</v>
      </c>
      <c r="H14" t="str">
        <f t="shared" si="1"/>
        <v>High</v>
      </c>
      <c r="I14" t="s">
        <v>11</v>
      </c>
      <c r="L14" t="s">
        <v>12</v>
      </c>
      <c r="M14" s="3">
        <f t="shared" si="2"/>
        <v>2865050</v>
      </c>
    </row>
    <row r="15" spans="1:13" ht="15.75" x14ac:dyDescent="0.3">
      <c r="A15" s="1">
        <v>45510</v>
      </c>
      <c r="B15" t="s">
        <v>9</v>
      </c>
      <c r="C15" t="s">
        <v>22</v>
      </c>
      <c r="D15" t="s">
        <v>10</v>
      </c>
      <c r="E15">
        <v>1</v>
      </c>
      <c r="F15">
        <v>4500</v>
      </c>
      <c r="G15" s="2">
        <f t="shared" si="0"/>
        <v>4500</v>
      </c>
      <c r="H15" t="str">
        <f t="shared" si="1"/>
        <v>Low</v>
      </c>
      <c r="I15" t="s">
        <v>14</v>
      </c>
      <c r="L15" t="s">
        <v>9</v>
      </c>
      <c r="M15" s="3">
        <f t="shared" si="2"/>
        <v>1849750</v>
      </c>
    </row>
    <row r="16" spans="1:13" ht="15.75" x14ac:dyDescent="0.3">
      <c r="A16" s="1">
        <v>45656</v>
      </c>
      <c r="B16" t="s">
        <v>23</v>
      </c>
      <c r="C16" t="s">
        <v>13</v>
      </c>
      <c r="D16" t="s">
        <v>7</v>
      </c>
      <c r="E16">
        <v>7</v>
      </c>
      <c r="F16">
        <v>300</v>
      </c>
      <c r="G16" s="2">
        <f t="shared" si="0"/>
        <v>2100</v>
      </c>
      <c r="H16" t="str">
        <f t="shared" si="1"/>
        <v>Low</v>
      </c>
      <c r="I16" t="s">
        <v>11</v>
      </c>
      <c r="L16" t="s">
        <v>23</v>
      </c>
      <c r="M16" s="3">
        <f t="shared" si="2"/>
        <v>2202100</v>
      </c>
    </row>
    <row r="17" spans="1:13" ht="15.75" x14ac:dyDescent="0.3">
      <c r="A17" s="1">
        <v>45294</v>
      </c>
      <c r="B17" t="s">
        <v>12</v>
      </c>
      <c r="C17" t="s">
        <v>13</v>
      </c>
      <c r="D17" t="s">
        <v>17</v>
      </c>
      <c r="E17">
        <v>8</v>
      </c>
      <c r="F17">
        <v>150</v>
      </c>
      <c r="G17" s="2">
        <f t="shared" si="0"/>
        <v>1200</v>
      </c>
      <c r="H17" t="str">
        <f t="shared" si="1"/>
        <v>Low</v>
      </c>
      <c r="I17" t="s">
        <v>14</v>
      </c>
      <c r="L17" t="s">
        <v>12</v>
      </c>
      <c r="M17" s="3">
        <f t="shared" si="2"/>
        <v>2865050</v>
      </c>
    </row>
    <row r="18" spans="1:13" ht="15.75" x14ac:dyDescent="0.3">
      <c r="A18" s="1">
        <v>45316</v>
      </c>
      <c r="B18" t="s">
        <v>26</v>
      </c>
      <c r="C18" t="s">
        <v>16</v>
      </c>
      <c r="D18" t="s">
        <v>10</v>
      </c>
      <c r="E18">
        <v>7</v>
      </c>
      <c r="F18">
        <v>4500</v>
      </c>
      <c r="G18" s="2">
        <f t="shared" si="0"/>
        <v>31500</v>
      </c>
      <c r="H18" t="str">
        <f t="shared" si="1"/>
        <v>High</v>
      </c>
      <c r="I18" t="s">
        <v>14</v>
      </c>
      <c r="L18" t="s">
        <v>26</v>
      </c>
      <c r="M18" s="3">
        <f t="shared" si="2"/>
        <v>2430500</v>
      </c>
    </row>
    <row r="19" spans="1:13" ht="15.75" x14ac:dyDescent="0.3">
      <c r="A19" s="1">
        <v>45592</v>
      </c>
      <c r="B19" t="s">
        <v>25</v>
      </c>
      <c r="C19" t="s">
        <v>16</v>
      </c>
      <c r="D19" t="s">
        <v>17</v>
      </c>
      <c r="E19">
        <v>7</v>
      </c>
      <c r="F19">
        <v>300</v>
      </c>
      <c r="G19" s="2">
        <f t="shared" si="0"/>
        <v>2100</v>
      </c>
      <c r="H19" t="str">
        <f t="shared" si="1"/>
        <v>Low</v>
      </c>
      <c r="I19" t="s">
        <v>14</v>
      </c>
      <c r="L19" t="s">
        <v>25</v>
      </c>
      <c r="M19" s="3">
        <f t="shared" si="2"/>
        <v>2243250</v>
      </c>
    </row>
    <row r="20" spans="1:13" ht="15.75" x14ac:dyDescent="0.3">
      <c r="A20" s="1">
        <v>45623</v>
      </c>
      <c r="B20" t="s">
        <v>23</v>
      </c>
      <c r="C20" t="s">
        <v>21</v>
      </c>
      <c r="D20" t="s">
        <v>18</v>
      </c>
      <c r="E20">
        <v>8</v>
      </c>
      <c r="F20">
        <v>4500</v>
      </c>
      <c r="G20" s="2">
        <f t="shared" si="0"/>
        <v>36000</v>
      </c>
      <c r="H20" t="str">
        <f t="shared" si="1"/>
        <v>High</v>
      </c>
      <c r="I20" t="s">
        <v>8</v>
      </c>
      <c r="L20" t="s">
        <v>23</v>
      </c>
      <c r="M20" s="3">
        <f t="shared" si="2"/>
        <v>2202100</v>
      </c>
    </row>
    <row r="21" spans="1:13" ht="15.75" x14ac:dyDescent="0.3">
      <c r="A21" s="1">
        <v>45513</v>
      </c>
      <c r="B21" t="s">
        <v>24</v>
      </c>
      <c r="C21" t="s">
        <v>22</v>
      </c>
      <c r="D21" t="s">
        <v>17</v>
      </c>
      <c r="E21">
        <v>4</v>
      </c>
      <c r="F21">
        <v>3200</v>
      </c>
      <c r="G21" s="2">
        <f t="shared" si="0"/>
        <v>12800</v>
      </c>
      <c r="H21" t="str">
        <f t="shared" si="1"/>
        <v>High</v>
      </c>
      <c r="I21" t="s">
        <v>14</v>
      </c>
      <c r="L21" t="s">
        <v>24</v>
      </c>
      <c r="M21" s="3">
        <f t="shared" si="2"/>
        <v>2514250</v>
      </c>
    </row>
    <row r="22" spans="1:13" ht="15.75" x14ac:dyDescent="0.3">
      <c r="A22" s="1">
        <v>45519</v>
      </c>
      <c r="B22" t="s">
        <v>26</v>
      </c>
      <c r="C22" t="s">
        <v>6</v>
      </c>
      <c r="D22" t="s">
        <v>18</v>
      </c>
      <c r="E22">
        <v>10</v>
      </c>
      <c r="F22">
        <v>4500</v>
      </c>
      <c r="G22" s="2">
        <f t="shared" si="0"/>
        <v>45000</v>
      </c>
      <c r="H22" t="str">
        <f t="shared" si="1"/>
        <v>High</v>
      </c>
      <c r="I22" t="s">
        <v>14</v>
      </c>
      <c r="L22" t="s">
        <v>26</v>
      </c>
      <c r="M22" s="3">
        <f t="shared" si="2"/>
        <v>2430500</v>
      </c>
    </row>
    <row r="23" spans="1:13" ht="15.75" x14ac:dyDescent="0.3">
      <c r="A23" s="1">
        <v>45446</v>
      </c>
      <c r="B23" t="s">
        <v>26</v>
      </c>
      <c r="C23" t="s">
        <v>22</v>
      </c>
      <c r="D23" t="s">
        <v>10</v>
      </c>
      <c r="E23">
        <v>2</v>
      </c>
      <c r="F23">
        <v>3200</v>
      </c>
      <c r="G23" s="2">
        <f t="shared" si="0"/>
        <v>6400</v>
      </c>
      <c r="H23" t="str">
        <f t="shared" si="1"/>
        <v>Low</v>
      </c>
      <c r="I23" t="s">
        <v>8</v>
      </c>
      <c r="L23" t="s">
        <v>26</v>
      </c>
      <c r="M23" s="3">
        <f t="shared" si="2"/>
        <v>2430500</v>
      </c>
    </row>
    <row r="24" spans="1:13" ht="15.75" x14ac:dyDescent="0.3">
      <c r="A24" s="1">
        <v>45588</v>
      </c>
      <c r="B24" t="s">
        <v>24</v>
      </c>
      <c r="C24" t="s">
        <v>21</v>
      </c>
      <c r="D24" t="s">
        <v>7</v>
      </c>
      <c r="E24">
        <v>4</v>
      </c>
      <c r="F24">
        <v>300</v>
      </c>
      <c r="G24" s="2">
        <f t="shared" si="0"/>
        <v>1200</v>
      </c>
      <c r="H24" t="str">
        <f t="shared" si="1"/>
        <v>Low</v>
      </c>
      <c r="I24" t="s">
        <v>11</v>
      </c>
      <c r="L24" t="s">
        <v>24</v>
      </c>
      <c r="M24" s="3">
        <f t="shared" si="2"/>
        <v>2514250</v>
      </c>
    </row>
    <row r="25" spans="1:13" ht="15.75" x14ac:dyDescent="0.3">
      <c r="A25" s="1">
        <v>45364</v>
      </c>
      <c r="B25" t="s">
        <v>15</v>
      </c>
      <c r="C25" t="s">
        <v>22</v>
      </c>
      <c r="D25" t="s">
        <v>18</v>
      </c>
      <c r="E25">
        <v>4</v>
      </c>
      <c r="F25">
        <v>150</v>
      </c>
      <c r="G25" s="2">
        <f t="shared" si="0"/>
        <v>600</v>
      </c>
      <c r="H25" t="str">
        <f t="shared" si="1"/>
        <v>Low</v>
      </c>
      <c r="I25" t="s">
        <v>14</v>
      </c>
      <c r="L25" t="s">
        <v>15</v>
      </c>
      <c r="M25" s="3">
        <f t="shared" si="2"/>
        <v>2145050</v>
      </c>
    </row>
    <row r="26" spans="1:13" ht="15.75" x14ac:dyDescent="0.3">
      <c r="A26" s="1">
        <v>45324</v>
      </c>
      <c r="B26" t="s">
        <v>25</v>
      </c>
      <c r="C26" t="s">
        <v>16</v>
      </c>
      <c r="D26" t="s">
        <v>7</v>
      </c>
      <c r="E26">
        <v>9</v>
      </c>
      <c r="F26">
        <v>3200</v>
      </c>
      <c r="G26" s="2">
        <f t="shared" si="0"/>
        <v>28800</v>
      </c>
      <c r="H26" t="str">
        <f t="shared" si="1"/>
        <v>High</v>
      </c>
      <c r="I26" t="s">
        <v>8</v>
      </c>
      <c r="L26" t="s">
        <v>25</v>
      </c>
      <c r="M26" s="3">
        <f t="shared" si="2"/>
        <v>2243250</v>
      </c>
    </row>
    <row r="27" spans="1:13" ht="15.75" x14ac:dyDescent="0.3">
      <c r="A27" s="1">
        <v>45488</v>
      </c>
      <c r="B27" t="s">
        <v>23</v>
      </c>
      <c r="C27" t="s">
        <v>21</v>
      </c>
      <c r="D27" t="s">
        <v>7</v>
      </c>
      <c r="E27">
        <v>2</v>
      </c>
      <c r="F27">
        <v>150</v>
      </c>
      <c r="G27" s="2">
        <f t="shared" si="0"/>
        <v>300</v>
      </c>
      <c r="H27" t="str">
        <f t="shared" si="1"/>
        <v>Low</v>
      </c>
      <c r="I27" t="s">
        <v>14</v>
      </c>
      <c r="L27" t="s">
        <v>23</v>
      </c>
      <c r="M27" s="3">
        <f t="shared" si="2"/>
        <v>2202100</v>
      </c>
    </row>
    <row r="28" spans="1:13" ht="15.75" x14ac:dyDescent="0.3">
      <c r="A28" s="1">
        <v>45623</v>
      </c>
      <c r="B28" t="s">
        <v>9</v>
      </c>
      <c r="C28" t="s">
        <v>6</v>
      </c>
      <c r="D28" t="s">
        <v>20</v>
      </c>
      <c r="E28">
        <v>3</v>
      </c>
      <c r="F28">
        <v>150</v>
      </c>
      <c r="G28" s="2">
        <f t="shared" si="0"/>
        <v>450</v>
      </c>
      <c r="H28" t="str">
        <f t="shared" si="1"/>
        <v>Low</v>
      </c>
      <c r="I28" t="s">
        <v>8</v>
      </c>
      <c r="L28" t="s">
        <v>9</v>
      </c>
      <c r="M28" s="3">
        <f t="shared" si="2"/>
        <v>1849750</v>
      </c>
    </row>
    <row r="29" spans="1:13" ht="15.75" x14ac:dyDescent="0.3">
      <c r="A29" s="1">
        <v>45634</v>
      </c>
      <c r="B29" t="s">
        <v>9</v>
      </c>
      <c r="C29" t="s">
        <v>6</v>
      </c>
      <c r="D29" t="s">
        <v>20</v>
      </c>
      <c r="E29">
        <v>3</v>
      </c>
      <c r="F29">
        <v>8500</v>
      </c>
      <c r="G29" s="2">
        <f t="shared" si="0"/>
        <v>25500</v>
      </c>
      <c r="H29" t="str">
        <f t="shared" si="1"/>
        <v>High</v>
      </c>
      <c r="I29" t="s">
        <v>11</v>
      </c>
      <c r="L29" t="s">
        <v>9</v>
      </c>
      <c r="M29" s="3">
        <f t="shared" si="2"/>
        <v>1849750</v>
      </c>
    </row>
    <row r="30" spans="1:13" ht="15.75" x14ac:dyDescent="0.3">
      <c r="A30" s="1">
        <v>45397</v>
      </c>
      <c r="B30" t="s">
        <v>24</v>
      </c>
      <c r="C30" t="s">
        <v>16</v>
      </c>
      <c r="D30" t="s">
        <v>7</v>
      </c>
      <c r="E30">
        <v>5</v>
      </c>
      <c r="F30">
        <v>8500</v>
      </c>
      <c r="G30" s="2">
        <f t="shared" si="0"/>
        <v>42500</v>
      </c>
      <c r="H30" t="str">
        <f t="shared" si="1"/>
        <v>High</v>
      </c>
      <c r="I30" t="s">
        <v>14</v>
      </c>
      <c r="L30" t="s">
        <v>24</v>
      </c>
      <c r="M30" s="3">
        <f t="shared" si="2"/>
        <v>2514250</v>
      </c>
    </row>
    <row r="31" spans="1:13" ht="15.75" x14ac:dyDescent="0.3">
      <c r="A31" s="1">
        <v>45474</v>
      </c>
      <c r="B31" t="s">
        <v>9</v>
      </c>
      <c r="C31" t="s">
        <v>21</v>
      </c>
      <c r="D31" t="s">
        <v>17</v>
      </c>
      <c r="E31">
        <v>6</v>
      </c>
      <c r="F31">
        <v>150</v>
      </c>
      <c r="G31" s="2">
        <f t="shared" si="0"/>
        <v>900</v>
      </c>
      <c r="H31" t="str">
        <f t="shared" si="1"/>
        <v>Low</v>
      </c>
      <c r="I31" t="s">
        <v>11</v>
      </c>
      <c r="L31" t="s">
        <v>9</v>
      </c>
      <c r="M31" s="3">
        <f t="shared" si="2"/>
        <v>1849750</v>
      </c>
    </row>
    <row r="32" spans="1:13" ht="15.75" x14ac:dyDescent="0.3">
      <c r="A32" s="1">
        <v>45532</v>
      </c>
      <c r="B32" t="s">
        <v>25</v>
      </c>
      <c r="C32" t="s">
        <v>6</v>
      </c>
      <c r="D32" t="s">
        <v>18</v>
      </c>
      <c r="E32">
        <v>1</v>
      </c>
      <c r="F32">
        <v>4500</v>
      </c>
      <c r="G32" s="2">
        <f t="shared" si="0"/>
        <v>4500</v>
      </c>
      <c r="H32" t="str">
        <f t="shared" si="1"/>
        <v>Low</v>
      </c>
      <c r="I32" t="s">
        <v>14</v>
      </c>
      <c r="L32" t="s">
        <v>25</v>
      </c>
      <c r="M32" s="3">
        <f t="shared" si="2"/>
        <v>2243250</v>
      </c>
    </row>
    <row r="33" spans="1:13" ht="15.75" x14ac:dyDescent="0.3">
      <c r="A33" s="1">
        <v>45565</v>
      </c>
      <c r="B33" t="s">
        <v>26</v>
      </c>
      <c r="C33" t="s">
        <v>13</v>
      </c>
      <c r="D33" t="s">
        <v>10</v>
      </c>
      <c r="E33">
        <v>5</v>
      </c>
      <c r="F33">
        <v>3200</v>
      </c>
      <c r="G33" s="2">
        <f t="shared" si="0"/>
        <v>16000</v>
      </c>
      <c r="H33" t="str">
        <f t="shared" si="1"/>
        <v>High</v>
      </c>
      <c r="I33" t="s">
        <v>8</v>
      </c>
      <c r="L33" t="s">
        <v>26</v>
      </c>
      <c r="M33" s="3">
        <f t="shared" si="2"/>
        <v>2430500</v>
      </c>
    </row>
    <row r="34" spans="1:13" ht="15.75" x14ac:dyDescent="0.3">
      <c r="A34" s="1">
        <v>45568</v>
      </c>
      <c r="B34" t="s">
        <v>24</v>
      </c>
      <c r="C34" t="s">
        <v>6</v>
      </c>
      <c r="D34" t="s">
        <v>17</v>
      </c>
      <c r="E34">
        <v>7</v>
      </c>
      <c r="F34">
        <v>300</v>
      </c>
      <c r="G34" s="2">
        <f t="shared" si="0"/>
        <v>2100</v>
      </c>
      <c r="H34" t="str">
        <f t="shared" si="1"/>
        <v>Low</v>
      </c>
      <c r="I34" t="s">
        <v>14</v>
      </c>
      <c r="L34" t="s">
        <v>24</v>
      </c>
      <c r="M34" s="3">
        <f t="shared" si="2"/>
        <v>2514250</v>
      </c>
    </row>
    <row r="35" spans="1:13" ht="15.75" x14ac:dyDescent="0.3">
      <c r="A35" s="1">
        <v>45301</v>
      </c>
      <c r="B35" t="s">
        <v>9</v>
      </c>
      <c r="C35" t="s">
        <v>21</v>
      </c>
      <c r="D35" t="s">
        <v>17</v>
      </c>
      <c r="E35">
        <v>4</v>
      </c>
      <c r="F35">
        <v>4500</v>
      </c>
      <c r="G35" s="2">
        <f t="shared" si="0"/>
        <v>18000</v>
      </c>
      <c r="H35" t="str">
        <f t="shared" si="1"/>
        <v>High</v>
      </c>
      <c r="I35" t="s">
        <v>14</v>
      </c>
      <c r="L35" t="s">
        <v>9</v>
      </c>
      <c r="M35" s="3">
        <f t="shared" si="2"/>
        <v>1849750</v>
      </c>
    </row>
    <row r="36" spans="1:13" ht="15.75" x14ac:dyDescent="0.3">
      <c r="A36" s="1">
        <v>45331</v>
      </c>
      <c r="B36" t="s">
        <v>23</v>
      </c>
      <c r="C36" t="s">
        <v>6</v>
      </c>
      <c r="D36" t="s">
        <v>18</v>
      </c>
      <c r="E36">
        <v>9</v>
      </c>
      <c r="F36">
        <v>4500</v>
      </c>
      <c r="G36" s="2">
        <f t="shared" si="0"/>
        <v>40500</v>
      </c>
      <c r="H36" t="str">
        <f t="shared" si="1"/>
        <v>High</v>
      </c>
      <c r="I36" t="s">
        <v>11</v>
      </c>
      <c r="L36" t="s">
        <v>23</v>
      </c>
      <c r="M36" s="3">
        <f t="shared" si="2"/>
        <v>2202100</v>
      </c>
    </row>
    <row r="37" spans="1:13" ht="15.75" x14ac:dyDescent="0.3">
      <c r="A37" s="1">
        <v>45377</v>
      </c>
      <c r="B37" t="s">
        <v>19</v>
      </c>
      <c r="C37" t="s">
        <v>16</v>
      </c>
      <c r="D37" t="s">
        <v>18</v>
      </c>
      <c r="E37">
        <v>9</v>
      </c>
      <c r="F37">
        <v>3200</v>
      </c>
      <c r="G37" s="2">
        <f t="shared" si="0"/>
        <v>28800</v>
      </c>
      <c r="H37" t="str">
        <f t="shared" si="1"/>
        <v>High</v>
      </c>
      <c r="I37" t="s">
        <v>14</v>
      </c>
      <c r="L37" t="s">
        <v>19</v>
      </c>
      <c r="M37" s="3">
        <f t="shared" si="2"/>
        <v>2179300</v>
      </c>
    </row>
    <row r="38" spans="1:13" ht="15.75" x14ac:dyDescent="0.3">
      <c r="A38" s="1">
        <v>45618</v>
      </c>
      <c r="B38" t="s">
        <v>12</v>
      </c>
      <c r="C38" t="s">
        <v>13</v>
      </c>
      <c r="D38" t="s">
        <v>10</v>
      </c>
      <c r="E38">
        <v>6</v>
      </c>
      <c r="F38">
        <v>3200</v>
      </c>
      <c r="G38" s="2">
        <f t="shared" si="0"/>
        <v>19200</v>
      </c>
      <c r="H38" t="str">
        <f t="shared" si="1"/>
        <v>High</v>
      </c>
      <c r="I38" t="s">
        <v>11</v>
      </c>
      <c r="L38" t="s">
        <v>12</v>
      </c>
      <c r="M38" s="3">
        <f t="shared" si="2"/>
        <v>2865050</v>
      </c>
    </row>
    <row r="39" spans="1:13" ht="15.75" x14ac:dyDescent="0.3">
      <c r="A39" s="1">
        <v>45481</v>
      </c>
      <c r="B39" t="s">
        <v>15</v>
      </c>
      <c r="C39" t="s">
        <v>22</v>
      </c>
      <c r="D39" t="s">
        <v>7</v>
      </c>
      <c r="E39">
        <v>8</v>
      </c>
      <c r="F39">
        <v>300</v>
      </c>
      <c r="G39" s="2">
        <f t="shared" si="0"/>
        <v>2400</v>
      </c>
      <c r="H39" t="str">
        <f t="shared" si="1"/>
        <v>Low</v>
      </c>
      <c r="I39" t="s">
        <v>14</v>
      </c>
      <c r="L39" t="s">
        <v>15</v>
      </c>
      <c r="M39" s="3">
        <f t="shared" si="2"/>
        <v>2145050</v>
      </c>
    </row>
    <row r="40" spans="1:13" ht="15.75" x14ac:dyDescent="0.3">
      <c r="A40" s="1">
        <v>45306</v>
      </c>
      <c r="B40" t="s">
        <v>23</v>
      </c>
      <c r="C40" t="s">
        <v>16</v>
      </c>
      <c r="D40" t="s">
        <v>18</v>
      </c>
      <c r="E40">
        <v>4</v>
      </c>
      <c r="F40">
        <v>150</v>
      </c>
      <c r="G40" s="2">
        <f t="shared" si="0"/>
        <v>600</v>
      </c>
      <c r="H40" t="str">
        <f t="shared" si="1"/>
        <v>Low</v>
      </c>
      <c r="I40" t="s">
        <v>11</v>
      </c>
      <c r="L40" t="s">
        <v>23</v>
      </c>
      <c r="M40" s="3">
        <f t="shared" si="2"/>
        <v>2202100</v>
      </c>
    </row>
    <row r="41" spans="1:13" ht="15.75" x14ac:dyDescent="0.3">
      <c r="A41" s="1">
        <v>45570</v>
      </c>
      <c r="B41" t="s">
        <v>12</v>
      </c>
      <c r="C41" t="s">
        <v>16</v>
      </c>
      <c r="D41" t="s">
        <v>20</v>
      </c>
      <c r="E41">
        <v>6</v>
      </c>
      <c r="F41">
        <v>3200</v>
      </c>
      <c r="G41" s="2">
        <f t="shared" si="0"/>
        <v>19200</v>
      </c>
      <c r="H41" t="str">
        <f t="shared" si="1"/>
        <v>High</v>
      </c>
      <c r="I41" t="s">
        <v>14</v>
      </c>
      <c r="L41" t="s">
        <v>12</v>
      </c>
      <c r="M41" s="3">
        <f t="shared" si="2"/>
        <v>2865050</v>
      </c>
    </row>
    <row r="42" spans="1:13" ht="15.75" x14ac:dyDescent="0.3">
      <c r="A42" s="1">
        <v>45633</v>
      </c>
      <c r="B42" t="s">
        <v>24</v>
      </c>
      <c r="C42" t="s">
        <v>21</v>
      </c>
      <c r="D42" t="s">
        <v>17</v>
      </c>
      <c r="E42">
        <v>8</v>
      </c>
      <c r="F42">
        <v>8500</v>
      </c>
      <c r="G42" s="2">
        <f t="shared" si="0"/>
        <v>68000</v>
      </c>
      <c r="H42" t="str">
        <f t="shared" si="1"/>
        <v>High</v>
      </c>
      <c r="I42" t="s">
        <v>14</v>
      </c>
      <c r="L42" t="s">
        <v>24</v>
      </c>
      <c r="M42" s="3">
        <f t="shared" si="2"/>
        <v>2514250</v>
      </c>
    </row>
    <row r="43" spans="1:13" ht="15.75" x14ac:dyDescent="0.3">
      <c r="A43" s="1">
        <v>45296</v>
      </c>
      <c r="B43" t="s">
        <v>12</v>
      </c>
      <c r="C43" t="s">
        <v>13</v>
      </c>
      <c r="D43" t="s">
        <v>7</v>
      </c>
      <c r="E43">
        <v>7</v>
      </c>
      <c r="F43">
        <v>4500</v>
      </c>
      <c r="G43" s="2">
        <f t="shared" si="0"/>
        <v>31500</v>
      </c>
      <c r="H43" t="str">
        <f t="shared" si="1"/>
        <v>High</v>
      </c>
      <c r="I43" t="s">
        <v>14</v>
      </c>
      <c r="L43" t="s">
        <v>12</v>
      </c>
      <c r="M43" s="3">
        <f t="shared" si="2"/>
        <v>2865050</v>
      </c>
    </row>
    <row r="44" spans="1:13" ht="15.75" x14ac:dyDescent="0.3">
      <c r="A44" s="1">
        <v>45462</v>
      </c>
      <c r="B44" t="s">
        <v>12</v>
      </c>
      <c r="C44" t="s">
        <v>16</v>
      </c>
      <c r="D44" t="s">
        <v>7</v>
      </c>
      <c r="E44">
        <v>10</v>
      </c>
      <c r="F44">
        <v>150</v>
      </c>
      <c r="G44" s="2">
        <f t="shared" si="0"/>
        <v>1500</v>
      </c>
      <c r="H44" t="str">
        <f t="shared" si="1"/>
        <v>Low</v>
      </c>
      <c r="I44" t="s">
        <v>14</v>
      </c>
      <c r="L44" t="s">
        <v>12</v>
      </c>
      <c r="M44" s="3">
        <f t="shared" si="2"/>
        <v>2865050</v>
      </c>
    </row>
    <row r="45" spans="1:13" ht="15.75" x14ac:dyDescent="0.3">
      <c r="A45" s="1">
        <v>45616</v>
      </c>
      <c r="B45" t="s">
        <v>23</v>
      </c>
      <c r="C45" t="s">
        <v>13</v>
      </c>
      <c r="D45" t="s">
        <v>10</v>
      </c>
      <c r="E45">
        <v>8</v>
      </c>
      <c r="F45">
        <v>150</v>
      </c>
      <c r="G45" s="2">
        <f t="shared" si="0"/>
        <v>1200</v>
      </c>
      <c r="H45" t="str">
        <f t="shared" si="1"/>
        <v>Low</v>
      </c>
      <c r="I45" t="s">
        <v>14</v>
      </c>
      <c r="L45" t="s">
        <v>23</v>
      </c>
      <c r="M45" s="3">
        <f t="shared" si="2"/>
        <v>2202100</v>
      </c>
    </row>
    <row r="46" spans="1:13" ht="15.75" x14ac:dyDescent="0.3">
      <c r="A46" s="1">
        <v>45424</v>
      </c>
      <c r="B46" t="s">
        <v>23</v>
      </c>
      <c r="C46" t="s">
        <v>6</v>
      </c>
      <c r="D46" t="s">
        <v>20</v>
      </c>
      <c r="E46">
        <v>4</v>
      </c>
      <c r="F46">
        <v>300</v>
      </c>
      <c r="G46" s="2">
        <f t="shared" si="0"/>
        <v>1200</v>
      </c>
      <c r="H46" t="str">
        <f t="shared" si="1"/>
        <v>Low</v>
      </c>
      <c r="I46" t="s">
        <v>14</v>
      </c>
      <c r="L46" t="s">
        <v>23</v>
      </c>
      <c r="M46" s="3">
        <f t="shared" si="2"/>
        <v>2202100</v>
      </c>
    </row>
    <row r="47" spans="1:13" ht="15.75" x14ac:dyDescent="0.3">
      <c r="A47" s="1">
        <v>45313</v>
      </c>
      <c r="B47" t="s">
        <v>24</v>
      </c>
      <c r="C47" t="s">
        <v>13</v>
      </c>
      <c r="D47" t="s">
        <v>17</v>
      </c>
      <c r="E47">
        <v>8</v>
      </c>
      <c r="F47">
        <v>8500</v>
      </c>
      <c r="G47" s="2">
        <f t="shared" si="0"/>
        <v>68000</v>
      </c>
      <c r="H47" t="str">
        <f t="shared" si="1"/>
        <v>High</v>
      </c>
      <c r="I47" t="s">
        <v>8</v>
      </c>
      <c r="L47" t="s">
        <v>24</v>
      </c>
      <c r="M47" s="3">
        <f t="shared" si="2"/>
        <v>2514250</v>
      </c>
    </row>
    <row r="48" spans="1:13" ht="15.75" x14ac:dyDescent="0.3">
      <c r="A48" s="1">
        <v>45355</v>
      </c>
      <c r="B48" t="s">
        <v>26</v>
      </c>
      <c r="C48" t="s">
        <v>13</v>
      </c>
      <c r="D48" t="s">
        <v>10</v>
      </c>
      <c r="E48">
        <v>9</v>
      </c>
      <c r="F48">
        <v>4500</v>
      </c>
      <c r="G48" s="2">
        <f t="shared" si="0"/>
        <v>40500</v>
      </c>
      <c r="H48" t="str">
        <f t="shared" si="1"/>
        <v>High</v>
      </c>
      <c r="I48" t="s">
        <v>8</v>
      </c>
      <c r="L48" t="s">
        <v>26</v>
      </c>
      <c r="M48" s="3">
        <f t="shared" si="2"/>
        <v>2430500</v>
      </c>
    </row>
    <row r="49" spans="1:13" ht="15.75" x14ac:dyDescent="0.3">
      <c r="A49" s="1">
        <v>45357</v>
      </c>
      <c r="B49" t="s">
        <v>9</v>
      </c>
      <c r="C49" t="s">
        <v>22</v>
      </c>
      <c r="D49" t="s">
        <v>10</v>
      </c>
      <c r="E49">
        <v>9</v>
      </c>
      <c r="F49">
        <v>300</v>
      </c>
      <c r="G49" s="2">
        <f t="shared" si="0"/>
        <v>2700</v>
      </c>
      <c r="H49" t="str">
        <f t="shared" si="1"/>
        <v>Low</v>
      </c>
      <c r="I49" t="s">
        <v>8</v>
      </c>
      <c r="L49" t="s">
        <v>9</v>
      </c>
      <c r="M49" s="3">
        <f t="shared" si="2"/>
        <v>1849750</v>
      </c>
    </row>
    <row r="50" spans="1:13" ht="15.75" x14ac:dyDescent="0.3">
      <c r="A50" s="1">
        <v>45558</v>
      </c>
      <c r="B50" t="s">
        <v>25</v>
      </c>
      <c r="C50" t="s">
        <v>22</v>
      </c>
      <c r="D50" t="s">
        <v>10</v>
      </c>
      <c r="E50">
        <v>4</v>
      </c>
      <c r="F50">
        <v>300</v>
      </c>
      <c r="G50" s="2">
        <f t="shared" si="0"/>
        <v>1200</v>
      </c>
      <c r="H50" t="str">
        <f t="shared" si="1"/>
        <v>Low</v>
      </c>
      <c r="I50" t="s">
        <v>11</v>
      </c>
      <c r="L50" t="s">
        <v>25</v>
      </c>
      <c r="M50" s="3">
        <f t="shared" si="2"/>
        <v>2243250</v>
      </c>
    </row>
    <row r="51" spans="1:13" ht="15.75" x14ac:dyDescent="0.3">
      <c r="A51" s="1">
        <v>45375</v>
      </c>
      <c r="B51" t="s">
        <v>12</v>
      </c>
      <c r="C51" t="s">
        <v>13</v>
      </c>
      <c r="D51" t="s">
        <v>18</v>
      </c>
      <c r="E51">
        <v>10</v>
      </c>
      <c r="F51">
        <v>300</v>
      </c>
      <c r="G51" s="2">
        <f t="shared" si="0"/>
        <v>3000</v>
      </c>
      <c r="H51" t="str">
        <f t="shared" si="1"/>
        <v>Low</v>
      </c>
      <c r="I51" t="s">
        <v>11</v>
      </c>
      <c r="L51" t="s">
        <v>12</v>
      </c>
      <c r="M51" s="3">
        <f t="shared" si="2"/>
        <v>2865050</v>
      </c>
    </row>
    <row r="52" spans="1:13" ht="15.75" x14ac:dyDescent="0.3">
      <c r="A52" s="1">
        <v>45485</v>
      </c>
      <c r="B52" t="s">
        <v>24</v>
      </c>
      <c r="C52" t="s">
        <v>6</v>
      </c>
      <c r="D52" t="s">
        <v>7</v>
      </c>
      <c r="E52">
        <v>3</v>
      </c>
      <c r="F52">
        <v>3200</v>
      </c>
      <c r="G52" s="2">
        <f t="shared" si="0"/>
        <v>9600</v>
      </c>
      <c r="H52" t="str">
        <f t="shared" si="1"/>
        <v>Low</v>
      </c>
      <c r="I52" t="s">
        <v>11</v>
      </c>
      <c r="L52" t="s">
        <v>24</v>
      </c>
      <c r="M52" s="3">
        <f t="shared" si="2"/>
        <v>2514250</v>
      </c>
    </row>
    <row r="53" spans="1:13" ht="15.75" x14ac:dyDescent="0.3">
      <c r="A53" s="1">
        <v>45514</v>
      </c>
      <c r="B53" t="s">
        <v>19</v>
      </c>
      <c r="C53" t="s">
        <v>6</v>
      </c>
      <c r="D53" t="s">
        <v>7</v>
      </c>
      <c r="E53">
        <v>10</v>
      </c>
      <c r="F53">
        <v>150</v>
      </c>
      <c r="G53" s="2">
        <f t="shared" si="0"/>
        <v>1500</v>
      </c>
      <c r="H53" t="str">
        <f t="shared" si="1"/>
        <v>Low</v>
      </c>
      <c r="I53" t="s">
        <v>11</v>
      </c>
      <c r="L53" t="s">
        <v>19</v>
      </c>
      <c r="M53" s="3">
        <f t="shared" si="2"/>
        <v>2179300</v>
      </c>
    </row>
    <row r="54" spans="1:13" ht="15.75" x14ac:dyDescent="0.3">
      <c r="A54" s="1">
        <v>45344</v>
      </c>
      <c r="B54" t="s">
        <v>26</v>
      </c>
      <c r="C54" t="s">
        <v>16</v>
      </c>
      <c r="D54" t="s">
        <v>7</v>
      </c>
      <c r="E54">
        <v>7</v>
      </c>
      <c r="F54">
        <v>150</v>
      </c>
      <c r="G54" s="2">
        <f t="shared" si="0"/>
        <v>1050</v>
      </c>
      <c r="H54" t="str">
        <f t="shared" si="1"/>
        <v>Low</v>
      </c>
      <c r="I54" t="s">
        <v>14</v>
      </c>
      <c r="L54" t="s">
        <v>26</v>
      </c>
      <c r="M54" s="3">
        <f t="shared" si="2"/>
        <v>2430500</v>
      </c>
    </row>
    <row r="55" spans="1:13" ht="15.75" x14ac:dyDescent="0.3">
      <c r="A55" s="1">
        <v>45385</v>
      </c>
      <c r="B55" t="s">
        <v>24</v>
      </c>
      <c r="C55" t="s">
        <v>16</v>
      </c>
      <c r="D55" t="s">
        <v>10</v>
      </c>
      <c r="E55">
        <v>3</v>
      </c>
      <c r="F55">
        <v>150</v>
      </c>
      <c r="G55" s="2">
        <f t="shared" si="0"/>
        <v>450</v>
      </c>
      <c r="H55" t="str">
        <f t="shared" si="1"/>
        <v>Low</v>
      </c>
      <c r="I55" t="s">
        <v>8</v>
      </c>
      <c r="L55" t="s">
        <v>24</v>
      </c>
      <c r="M55" s="3">
        <f t="shared" si="2"/>
        <v>2514250</v>
      </c>
    </row>
    <row r="56" spans="1:13" ht="15.75" x14ac:dyDescent="0.3">
      <c r="A56" s="1">
        <v>45445</v>
      </c>
      <c r="B56" t="s">
        <v>9</v>
      </c>
      <c r="C56" t="s">
        <v>13</v>
      </c>
      <c r="D56" t="s">
        <v>17</v>
      </c>
      <c r="E56">
        <v>2</v>
      </c>
      <c r="F56">
        <v>300</v>
      </c>
      <c r="G56" s="2">
        <f t="shared" si="0"/>
        <v>600</v>
      </c>
      <c r="H56" t="str">
        <f t="shared" si="1"/>
        <v>Low</v>
      </c>
      <c r="I56" t="s">
        <v>11</v>
      </c>
      <c r="L56" t="s">
        <v>9</v>
      </c>
      <c r="M56" s="3">
        <f t="shared" si="2"/>
        <v>1849750</v>
      </c>
    </row>
    <row r="57" spans="1:13" ht="15.75" x14ac:dyDescent="0.3">
      <c r="A57" s="1">
        <v>45388</v>
      </c>
      <c r="B57" t="s">
        <v>26</v>
      </c>
      <c r="C57" t="s">
        <v>16</v>
      </c>
      <c r="D57" t="s">
        <v>7</v>
      </c>
      <c r="E57">
        <v>3</v>
      </c>
      <c r="F57">
        <v>4500</v>
      </c>
      <c r="G57" s="2">
        <f t="shared" si="0"/>
        <v>13500</v>
      </c>
      <c r="H57" t="str">
        <f t="shared" si="1"/>
        <v>High</v>
      </c>
      <c r="I57" t="s">
        <v>14</v>
      </c>
      <c r="L57" t="s">
        <v>26</v>
      </c>
      <c r="M57" s="3">
        <f t="shared" si="2"/>
        <v>2430500</v>
      </c>
    </row>
    <row r="58" spans="1:13" ht="15.75" x14ac:dyDescent="0.3">
      <c r="A58" s="1">
        <v>45433</v>
      </c>
      <c r="B58" t="s">
        <v>12</v>
      </c>
      <c r="C58" t="s">
        <v>21</v>
      </c>
      <c r="D58" t="s">
        <v>20</v>
      </c>
      <c r="E58">
        <v>2</v>
      </c>
      <c r="F58">
        <v>150</v>
      </c>
      <c r="G58" s="2">
        <f t="shared" si="0"/>
        <v>300</v>
      </c>
      <c r="H58" t="str">
        <f t="shared" si="1"/>
        <v>Low</v>
      </c>
      <c r="I58" t="s">
        <v>14</v>
      </c>
      <c r="L58" t="s">
        <v>12</v>
      </c>
      <c r="M58" s="3">
        <f t="shared" si="2"/>
        <v>2865050</v>
      </c>
    </row>
    <row r="59" spans="1:13" ht="15.75" x14ac:dyDescent="0.3">
      <c r="A59" s="1">
        <v>45482</v>
      </c>
      <c r="B59" t="s">
        <v>25</v>
      </c>
      <c r="C59" t="s">
        <v>13</v>
      </c>
      <c r="D59" t="s">
        <v>17</v>
      </c>
      <c r="E59">
        <v>2</v>
      </c>
      <c r="F59">
        <v>8500</v>
      </c>
      <c r="G59" s="2">
        <f t="shared" si="0"/>
        <v>17000</v>
      </c>
      <c r="H59" t="str">
        <f t="shared" si="1"/>
        <v>High</v>
      </c>
      <c r="I59" t="s">
        <v>14</v>
      </c>
      <c r="L59" t="s">
        <v>25</v>
      </c>
      <c r="M59" s="3">
        <f t="shared" si="2"/>
        <v>2243250</v>
      </c>
    </row>
    <row r="60" spans="1:13" ht="15.75" x14ac:dyDescent="0.3">
      <c r="A60" s="1">
        <v>45303</v>
      </c>
      <c r="B60" t="s">
        <v>15</v>
      </c>
      <c r="C60" t="s">
        <v>16</v>
      </c>
      <c r="D60" t="s">
        <v>10</v>
      </c>
      <c r="E60">
        <v>10</v>
      </c>
      <c r="F60">
        <v>4500</v>
      </c>
      <c r="G60" s="2">
        <f t="shared" si="0"/>
        <v>45000</v>
      </c>
      <c r="H60" t="str">
        <f t="shared" si="1"/>
        <v>High</v>
      </c>
      <c r="I60" t="s">
        <v>14</v>
      </c>
      <c r="L60" t="s">
        <v>15</v>
      </c>
      <c r="M60" s="3">
        <f t="shared" si="2"/>
        <v>2145050</v>
      </c>
    </row>
    <row r="61" spans="1:13" ht="15.75" x14ac:dyDescent="0.3">
      <c r="A61" s="1">
        <v>45586</v>
      </c>
      <c r="B61" t="s">
        <v>15</v>
      </c>
      <c r="C61" t="s">
        <v>22</v>
      </c>
      <c r="D61" t="s">
        <v>17</v>
      </c>
      <c r="E61">
        <v>7</v>
      </c>
      <c r="F61">
        <v>300</v>
      </c>
      <c r="G61" s="2">
        <f t="shared" si="0"/>
        <v>2100</v>
      </c>
      <c r="H61" t="str">
        <f t="shared" si="1"/>
        <v>Low</v>
      </c>
      <c r="I61" t="s">
        <v>14</v>
      </c>
      <c r="L61" t="s">
        <v>15</v>
      </c>
      <c r="M61" s="3">
        <f t="shared" si="2"/>
        <v>2145050</v>
      </c>
    </row>
    <row r="62" spans="1:13" ht="15.75" x14ac:dyDescent="0.3">
      <c r="A62" s="1">
        <v>45497</v>
      </c>
      <c r="B62" t="s">
        <v>9</v>
      </c>
      <c r="C62" t="s">
        <v>21</v>
      </c>
      <c r="D62" t="s">
        <v>18</v>
      </c>
      <c r="E62">
        <v>3</v>
      </c>
      <c r="F62">
        <v>4500</v>
      </c>
      <c r="G62" s="2">
        <f t="shared" si="0"/>
        <v>13500</v>
      </c>
      <c r="H62" t="str">
        <f t="shared" si="1"/>
        <v>High</v>
      </c>
      <c r="I62" t="s">
        <v>11</v>
      </c>
      <c r="L62" t="s">
        <v>9</v>
      </c>
      <c r="M62" s="3">
        <f t="shared" si="2"/>
        <v>1849750</v>
      </c>
    </row>
    <row r="63" spans="1:13" ht="15.75" x14ac:dyDescent="0.3">
      <c r="A63" s="1">
        <v>45498</v>
      </c>
      <c r="B63" t="s">
        <v>19</v>
      </c>
      <c r="C63" t="s">
        <v>16</v>
      </c>
      <c r="D63" t="s">
        <v>7</v>
      </c>
      <c r="E63">
        <v>3</v>
      </c>
      <c r="F63">
        <v>3200</v>
      </c>
      <c r="G63" s="2">
        <f t="shared" si="0"/>
        <v>9600</v>
      </c>
      <c r="H63" t="str">
        <f t="shared" si="1"/>
        <v>Low</v>
      </c>
      <c r="I63" t="s">
        <v>11</v>
      </c>
      <c r="L63" t="s">
        <v>19</v>
      </c>
      <c r="M63" s="3">
        <f t="shared" si="2"/>
        <v>2179300</v>
      </c>
    </row>
    <row r="64" spans="1:13" ht="15.75" x14ac:dyDescent="0.3">
      <c r="A64" s="1">
        <v>45540</v>
      </c>
      <c r="B64" t="s">
        <v>15</v>
      </c>
      <c r="C64" t="s">
        <v>16</v>
      </c>
      <c r="D64" t="s">
        <v>18</v>
      </c>
      <c r="E64">
        <v>1</v>
      </c>
      <c r="F64">
        <v>150</v>
      </c>
      <c r="G64" s="2">
        <f t="shared" si="0"/>
        <v>150</v>
      </c>
      <c r="H64" t="str">
        <f t="shared" si="1"/>
        <v>Low</v>
      </c>
      <c r="I64" t="s">
        <v>11</v>
      </c>
      <c r="L64" t="s">
        <v>15</v>
      </c>
      <c r="M64" s="3">
        <f t="shared" si="2"/>
        <v>2145050</v>
      </c>
    </row>
    <row r="65" spans="1:13" ht="15.75" x14ac:dyDescent="0.3">
      <c r="A65" s="1">
        <v>45408</v>
      </c>
      <c r="B65" t="s">
        <v>12</v>
      </c>
      <c r="C65" t="s">
        <v>6</v>
      </c>
      <c r="D65" t="s">
        <v>7</v>
      </c>
      <c r="E65">
        <v>2</v>
      </c>
      <c r="F65">
        <v>3200</v>
      </c>
      <c r="G65" s="2">
        <f t="shared" si="0"/>
        <v>6400</v>
      </c>
      <c r="H65" t="str">
        <f t="shared" si="1"/>
        <v>Low</v>
      </c>
      <c r="I65" t="s">
        <v>8</v>
      </c>
      <c r="L65" t="s">
        <v>12</v>
      </c>
      <c r="M65" s="3">
        <f t="shared" si="2"/>
        <v>2865050</v>
      </c>
    </row>
    <row r="66" spans="1:13" ht="15.75" x14ac:dyDescent="0.3">
      <c r="A66" s="1">
        <v>45502</v>
      </c>
      <c r="B66" t="s">
        <v>25</v>
      </c>
      <c r="C66" t="s">
        <v>6</v>
      </c>
      <c r="D66" t="s">
        <v>17</v>
      </c>
      <c r="E66">
        <v>2</v>
      </c>
      <c r="F66">
        <v>150</v>
      </c>
      <c r="G66" s="2">
        <f t="shared" si="0"/>
        <v>300</v>
      </c>
      <c r="H66" t="str">
        <f t="shared" si="1"/>
        <v>Low</v>
      </c>
      <c r="I66" t="s">
        <v>8</v>
      </c>
      <c r="L66" t="s">
        <v>25</v>
      </c>
      <c r="M66" s="3">
        <f t="shared" si="2"/>
        <v>2243250</v>
      </c>
    </row>
    <row r="67" spans="1:13" ht="15.75" x14ac:dyDescent="0.3">
      <c r="A67" s="1">
        <v>45459</v>
      </c>
      <c r="B67" t="s">
        <v>12</v>
      </c>
      <c r="C67" t="s">
        <v>16</v>
      </c>
      <c r="D67" t="s">
        <v>7</v>
      </c>
      <c r="E67">
        <v>7</v>
      </c>
      <c r="F67">
        <v>4500</v>
      </c>
      <c r="G67" s="2">
        <f t="shared" ref="G67:G130" si="3">E67*F67</f>
        <v>31500</v>
      </c>
      <c r="H67" t="str">
        <f t="shared" ref="H67:H130" si="4">IF(G67&gt;=10000,"High","Low")</f>
        <v>High</v>
      </c>
      <c r="I67" t="s">
        <v>11</v>
      </c>
      <c r="L67" t="s">
        <v>12</v>
      </c>
      <c r="M67" s="3">
        <f t="shared" ref="M67:M130" si="5">SUMIF(B:B,L67,G:G)</f>
        <v>2865050</v>
      </c>
    </row>
    <row r="68" spans="1:13" ht="15.75" x14ac:dyDescent="0.3">
      <c r="A68" s="1">
        <v>45626</v>
      </c>
      <c r="B68" t="s">
        <v>15</v>
      </c>
      <c r="C68" t="s">
        <v>6</v>
      </c>
      <c r="D68" t="s">
        <v>10</v>
      </c>
      <c r="E68">
        <v>9</v>
      </c>
      <c r="F68">
        <v>150</v>
      </c>
      <c r="G68" s="2">
        <f t="shared" si="3"/>
        <v>1350</v>
      </c>
      <c r="H68" t="str">
        <f t="shared" si="4"/>
        <v>Low</v>
      </c>
      <c r="I68" t="s">
        <v>8</v>
      </c>
      <c r="L68" t="s">
        <v>15</v>
      </c>
      <c r="M68" s="3">
        <f t="shared" si="5"/>
        <v>2145050</v>
      </c>
    </row>
    <row r="69" spans="1:13" ht="15.75" x14ac:dyDescent="0.3">
      <c r="A69" s="1">
        <v>45640</v>
      </c>
      <c r="B69" t="s">
        <v>24</v>
      </c>
      <c r="C69" t="s">
        <v>13</v>
      </c>
      <c r="D69" t="s">
        <v>20</v>
      </c>
      <c r="E69">
        <v>7</v>
      </c>
      <c r="F69">
        <v>300</v>
      </c>
      <c r="G69" s="2">
        <f t="shared" si="3"/>
        <v>2100</v>
      </c>
      <c r="H69" t="str">
        <f t="shared" si="4"/>
        <v>Low</v>
      </c>
      <c r="I69" t="s">
        <v>8</v>
      </c>
      <c r="L69" t="s">
        <v>24</v>
      </c>
      <c r="M69" s="3">
        <f t="shared" si="5"/>
        <v>2514250</v>
      </c>
    </row>
    <row r="70" spans="1:13" ht="15.75" x14ac:dyDescent="0.3">
      <c r="A70" s="1">
        <v>45621</v>
      </c>
      <c r="B70" t="s">
        <v>23</v>
      </c>
      <c r="C70" t="s">
        <v>22</v>
      </c>
      <c r="D70" t="s">
        <v>10</v>
      </c>
      <c r="E70">
        <v>5</v>
      </c>
      <c r="F70">
        <v>8500</v>
      </c>
      <c r="G70" s="2">
        <f t="shared" si="3"/>
        <v>42500</v>
      </c>
      <c r="H70" t="str">
        <f t="shared" si="4"/>
        <v>High</v>
      </c>
      <c r="I70" t="s">
        <v>14</v>
      </c>
      <c r="L70" t="s">
        <v>23</v>
      </c>
      <c r="M70" s="3">
        <f t="shared" si="5"/>
        <v>2202100</v>
      </c>
    </row>
    <row r="71" spans="1:13" ht="15.75" x14ac:dyDescent="0.3">
      <c r="A71" s="1">
        <v>45571</v>
      </c>
      <c r="B71" t="s">
        <v>25</v>
      </c>
      <c r="C71" t="s">
        <v>21</v>
      </c>
      <c r="D71" t="s">
        <v>10</v>
      </c>
      <c r="E71">
        <v>3</v>
      </c>
      <c r="F71">
        <v>300</v>
      </c>
      <c r="G71" s="2">
        <f t="shared" si="3"/>
        <v>900</v>
      </c>
      <c r="H71" t="str">
        <f t="shared" si="4"/>
        <v>Low</v>
      </c>
      <c r="I71" t="s">
        <v>11</v>
      </c>
      <c r="L71" t="s">
        <v>25</v>
      </c>
      <c r="M71" s="3">
        <f t="shared" si="5"/>
        <v>2243250</v>
      </c>
    </row>
    <row r="72" spans="1:13" ht="15.75" x14ac:dyDescent="0.3">
      <c r="A72" s="1">
        <v>45463</v>
      </c>
      <c r="B72" t="s">
        <v>15</v>
      </c>
      <c r="C72" t="s">
        <v>16</v>
      </c>
      <c r="D72" t="s">
        <v>18</v>
      </c>
      <c r="E72">
        <v>7</v>
      </c>
      <c r="F72">
        <v>300</v>
      </c>
      <c r="G72" s="2">
        <f t="shared" si="3"/>
        <v>2100</v>
      </c>
      <c r="H72" t="str">
        <f t="shared" si="4"/>
        <v>Low</v>
      </c>
      <c r="I72" t="s">
        <v>8</v>
      </c>
      <c r="L72" t="s">
        <v>15</v>
      </c>
      <c r="M72" s="3">
        <f t="shared" si="5"/>
        <v>2145050</v>
      </c>
    </row>
    <row r="73" spans="1:13" ht="15.75" x14ac:dyDescent="0.3">
      <c r="A73" s="1">
        <v>45563</v>
      </c>
      <c r="B73" t="s">
        <v>24</v>
      </c>
      <c r="C73" t="s">
        <v>13</v>
      </c>
      <c r="D73" t="s">
        <v>7</v>
      </c>
      <c r="E73">
        <v>5</v>
      </c>
      <c r="F73">
        <v>3200</v>
      </c>
      <c r="G73" s="2">
        <f t="shared" si="3"/>
        <v>16000</v>
      </c>
      <c r="H73" t="str">
        <f t="shared" si="4"/>
        <v>High</v>
      </c>
      <c r="I73" t="s">
        <v>14</v>
      </c>
      <c r="L73" t="s">
        <v>24</v>
      </c>
      <c r="M73" s="3">
        <f t="shared" si="5"/>
        <v>2514250</v>
      </c>
    </row>
    <row r="74" spans="1:13" ht="15.75" x14ac:dyDescent="0.3">
      <c r="A74" s="1">
        <v>45407</v>
      </c>
      <c r="B74" t="s">
        <v>15</v>
      </c>
      <c r="C74" t="s">
        <v>22</v>
      </c>
      <c r="D74" t="s">
        <v>18</v>
      </c>
      <c r="E74">
        <v>1</v>
      </c>
      <c r="F74">
        <v>150</v>
      </c>
      <c r="G74" s="2">
        <f t="shared" si="3"/>
        <v>150</v>
      </c>
      <c r="H74" t="str">
        <f t="shared" si="4"/>
        <v>Low</v>
      </c>
      <c r="I74" t="s">
        <v>14</v>
      </c>
      <c r="L74" t="s">
        <v>15</v>
      </c>
      <c r="M74" s="3">
        <f t="shared" si="5"/>
        <v>2145050</v>
      </c>
    </row>
    <row r="75" spans="1:13" ht="15.75" x14ac:dyDescent="0.3">
      <c r="A75" s="1">
        <v>45423</v>
      </c>
      <c r="B75" t="s">
        <v>26</v>
      </c>
      <c r="C75" t="s">
        <v>22</v>
      </c>
      <c r="D75" t="s">
        <v>18</v>
      </c>
      <c r="E75">
        <v>6</v>
      </c>
      <c r="F75">
        <v>3200</v>
      </c>
      <c r="G75" s="2">
        <f t="shared" si="3"/>
        <v>19200</v>
      </c>
      <c r="H75" t="str">
        <f t="shared" si="4"/>
        <v>High</v>
      </c>
      <c r="I75" t="s">
        <v>8</v>
      </c>
      <c r="L75" t="s">
        <v>26</v>
      </c>
      <c r="M75" s="3">
        <f t="shared" si="5"/>
        <v>2430500</v>
      </c>
    </row>
    <row r="76" spans="1:13" ht="15.75" x14ac:dyDescent="0.3">
      <c r="A76" s="1">
        <v>45334</v>
      </c>
      <c r="B76" t="s">
        <v>26</v>
      </c>
      <c r="C76" t="s">
        <v>13</v>
      </c>
      <c r="D76" t="s">
        <v>7</v>
      </c>
      <c r="E76">
        <v>6</v>
      </c>
      <c r="F76">
        <v>3200</v>
      </c>
      <c r="G76" s="2">
        <f t="shared" si="3"/>
        <v>19200</v>
      </c>
      <c r="H76" t="str">
        <f t="shared" si="4"/>
        <v>High</v>
      </c>
      <c r="I76" t="s">
        <v>14</v>
      </c>
      <c r="L76" t="s">
        <v>26</v>
      </c>
      <c r="M76" s="3">
        <f t="shared" si="5"/>
        <v>2430500</v>
      </c>
    </row>
    <row r="77" spans="1:13" ht="15.75" x14ac:dyDescent="0.3">
      <c r="A77" s="1">
        <v>45626</v>
      </c>
      <c r="B77" t="s">
        <v>19</v>
      </c>
      <c r="C77" t="s">
        <v>21</v>
      </c>
      <c r="D77" t="s">
        <v>17</v>
      </c>
      <c r="E77">
        <v>3</v>
      </c>
      <c r="F77">
        <v>150</v>
      </c>
      <c r="G77" s="2">
        <f t="shared" si="3"/>
        <v>450</v>
      </c>
      <c r="H77" t="str">
        <f t="shared" si="4"/>
        <v>Low</v>
      </c>
      <c r="I77" t="s">
        <v>14</v>
      </c>
      <c r="L77" t="s">
        <v>19</v>
      </c>
      <c r="M77" s="3">
        <f t="shared" si="5"/>
        <v>2179300</v>
      </c>
    </row>
    <row r="78" spans="1:13" ht="15.75" x14ac:dyDescent="0.3">
      <c r="A78" s="1">
        <v>45582</v>
      </c>
      <c r="B78" t="s">
        <v>26</v>
      </c>
      <c r="C78" t="s">
        <v>22</v>
      </c>
      <c r="D78" t="s">
        <v>10</v>
      </c>
      <c r="E78">
        <v>9</v>
      </c>
      <c r="F78">
        <v>4500</v>
      </c>
      <c r="G78" s="2">
        <f t="shared" si="3"/>
        <v>40500</v>
      </c>
      <c r="H78" t="str">
        <f t="shared" si="4"/>
        <v>High</v>
      </c>
      <c r="I78" t="s">
        <v>14</v>
      </c>
      <c r="L78" t="s">
        <v>26</v>
      </c>
      <c r="M78" s="3">
        <f t="shared" si="5"/>
        <v>2430500</v>
      </c>
    </row>
    <row r="79" spans="1:13" ht="15.75" x14ac:dyDescent="0.3">
      <c r="A79" s="1">
        <v>45656</v>
      </c>
      <c r="B79" t="s">
        <v>15</v>
      </c>
      <c r="C79" t="s">
        <v>13</v>
      </c>
      <c r="D79" t="s">
        <v>17</v>
      </c>
      <c r="E79">
        <v>9</v>
      </c>
      <c r="F79">
        <v>300</v>
      </c>
      <c r="G79" s="2">
        <f t="shared" si="3"/>
        <v>2700</v>
      </c>
      <c r="H79" t="str">
        <f t="shared" si="4"/>
        <v>Low</v>
      </c>
      <c r="I79" t="s">
        <v>11</v>
      </c>
      <c r="L79" t="s">
        <v>15</v>
      </c>
      <c r="M79" s="3">
        <f t="shared" si="5"/>
        <v>2145050</v>
      </c>
    </row>
    <row r="80" spans="1:13" ht="15.75" x14ac:dyDescent="0.3">
      <c r="A80" s="1">
        <v>45568</v>
      </c>
      <c r="B80" t="s">
        <v>15</v>
      </c>
      <c r="C80" t="s">
        <v>16</v>
      </c>
      <c r="D80" t="s">
        <v>20</v>
      </c>
      <c r="E80">
        <v>5</v>
      </c>
      <c r="F80">
        <v>4500</v>
      </c>
      <c r="G80" s="2">
        <f t="shared" si="3"/>
        <v>22500</v>
      </c>
      <c r="H80" t="str">
        <f t="shared" si="4"/>
        <v>High</v>
      </c>
      <c r="I80" t="s">
        <v>8</v>
      </c>
      <c r="L80" t="s">
        <v>15</v>
      </c>
      <c r="M80" s="3">
        <f t="shared" si="5"/>
        <v>2145050</v>
      </c>
    </row>
    <row r="81" spans="1:13" ht="15.75" x14ac:dyDescent="0.3">
      <c r="A81" s="1">
        <v>45570</v>
      </c>
      <c r="B81" t="s">
        <v>23</v>
      </c>
      <c r="C81" t="s">
        <v>21</v>
      </c>
      <c r="D81" t="s">
        <v>17</v>
      </c>
      <c r="E81">
        <v>1</v>
      </c>
      <c r="F81">
        <v>8500</v>
      </c>
      <c r="G81" s="2">
        <f t="shared" si="3"/>
        <v>8500</v>
      </c>
      <c r="H81" t="str">
        <f t="shared" si="4"/>
        <v>Low</v>
      </c>
      <c r="I81" t="s">
        <v>11</v>
      </c>
      <c r="L81" t="s">
        <v>23</v>
      </c>
      <c r="M81" s="3">
        <f t="shared" si="5"/>
        <v>2202100</v>
      </c>
    </row>
    <row r="82" spans="1:13" ht="15.75" x14ac:dyDescent="0.3">
      <c r="A82" s="1">
        <v>45501</v>
      </c>
      <c r="B82" t="s">
        <v>23</v>
      </c>
      <c r="C82" t="s">
        <v>21</v>
      </c>
      <c r="D82" t="s">
        <v>18</v>
      </c>
      <c r="E82">
        <v>8</v>
      </c>
      <c r="F82">
        <v>4500</v>
      </c>
      <c r="G82" s="2">
        <f t="shared" si="3"/>
        <v>36000</v>
      </c>
      <c r="H82" t="str">
        <f t="shared" si="4"/>
        <v>High</v>
      </c>
      <c r="I82" t="s">
        <v>14</v>
      </c>
      <c r="L82" t="s">
        <v>23</v>
      </c>
      <c r="M82" s="3">
        <f t="shared" si="5"/>
        <v>2202100</v>
      </c>
    </row>
    <row r="83" spans="1:13" ht="15.75" x14ac:dyDescent="0.3">
      <c r="A83" s="1">
        <v>45548</v>
      </c>
      <c r="B83" t="s">
        <v>12</v>
      </c>
      <c r="C83" t="s">
        <v>22</v>
      </c>
      <c r="D83" t="s">
        <v>7</v>
      </c>
      <c r="E83">
        <v>9</v>
      </c>
      <c r="F83">
        <v>3200</v>
      </c>
      <c r="G83" s="2">
        <f t="shared" si="3"/>
        <v>28800</v>
      </c>
      <c r="H83" t="str">
        <f t="shared" si="4"/>
        <v>High</v>
      </c>
      <c r="I83" t="s">
        <v>11</v>
      </c>
      <c r="L83" t="s">
        <v>12</v>
      </c>
      <c r="M83" s="3">
        <f t="shared" si="5"/>
        <v>2865050</v>
      </c>
    </row>
    <row r="84" spans="1:13" ht="15.75" x14ac:dyDescent="0.3">
      <c r="A84" s="1">
        <v>45452</v>
      </c>
      <c r="B84" t="s">
        <v>15</v>
      </c>
      <c r="C84" t="s">
        <v>21</v>
      </c>
      <c r="D84" t="s">
        <v>10</v>
      </c>
      <c r="E84">
        <v>4</v>
      </c>
      <c r="F84">
        <v>150</v>
      </c>
      <c r="G84" s="2">
        <f t="shared" si="3"/>
        <v>600</v>
      </c>
      <c r="H84" t="str">
        <f t="shared" si="4"/>
        <v>Low</v>
      </c>
      <c r="I84" t="s">
        <v>11</v>
      </c>
      <c r="L84" t="s">
        <v>15</v>
      </c>
      <c r="M84" s="3">
        <f t="shared" si="5"/>
        <v>2145050</v>
      </c>
    </row>
    <row r="85" spans="1:13" ht="15.75" x14ac:dyDescent="0.3">
      <c r="A85" s="1">
        <v>45635</v>
      </c>
      <c r="B85" t="s">
        <v>9</v>
      </c>
      <c r="C85" t="s">
        <v>22</v>
      </c>
      <c r="D85" t="s">
        <v>17</v>
      </c>
      <c r="E85">
        <v>8</v>
      </c>
      <c r="F85">
        <v>300</v>
      </c>
      <c r="G85" s="2">
        <f t="shared" si="3"/>
        <v>2400</v>
      </c>
      <c r="H85" t="str">
        <f t="shared" si="4"/>
        <v>Low</v>
      </c>
      <c r="I85" t="s">
        <v>11</v>
      </c>
      <c r="L85" t="s">
        <v>9</v>
      </c>
      <c r="M85" s="3">
        <f t="shared" si="5"/>
        <v>1849750</v>
      </c>
    </row>
    <row r="86" spans="1:13" ht="15.75" x14ac:dyDescent="0.3">
      <c r="A86" s="1">
        <v>45552</v>
      </c>
      <c r="B86" t="s">
        <v>9</v>
      </c>
      <c r="C86" t="s">
        <v>16</v>
      </c>
      <c r="D86" t="s">
        <v>17</v>
      </c>
      <c r="E86">
        <v>10</v>
      </c>
      <c r="F86">
        <v>4500</v>
      </c>
      <c r="G86" s="2">
        <f t="shared" si="3"/>
        <v>45000</v>
      </c>
      <c r="H86" t="str">
        <f t="shared" si="4"/>
        <v>High</v>
      </c>
      <c r="I86" t="s">
        <v>11</v>
      </c>
      <c r="L86" t="s">
        <v>9</v>
      </c>
      <c r="M86" s="3">
        <f t="shared" si="5"/>
        <v>1849750</v>
      </c>
    </row>
    <row r="87" spans="1:13" ht="15.75" x14ac:dyDescent="0.3">
      <c r="A87" s="1">
        <v>45414</v>
      </c>
      <c r="B87" t="s">
        <v>9</v>
      </c>
      <c r="C87" t="s">
        <v>21</v>
      </c>
      <c r="D87" t="s">
        <v>20</v>
      </c>
      <c r="E87">
        <v>6</v>
      </c>
      <c r="F87">
        <v>4500</v>
      </c>
      <c r="G87" s="2">
        <f t="shared" si="3"/>
        <v>27000</v>
      </c>
      <c r="H87" t="str">
        <f t="shared" si="4"/>
        <v>High</v>
      </c>
      <c r="I87" t="s">
        <v>8</v>
      </c>
      <c r="L87" t="s">
        <v>9</v>
      </c>
      <c r="M87" s="3">
        <f t="shared" si="5"/>
        <v>1849750</v>
      </c>
    </row>
    <row r="88" spans="1:13" ht="15.75" x14ac:dyDescent="0.3">
      <c r="A88" s="1">
        <v>45353</v>
      </c>
      <c r="B88" t="s">
        <v>24</v>
      </c>
      <c r="C88" t="s">
        <v>22</v>
      </c>
      <c r="D88" t="s">
        <v>7</v>
      </c>
      <c r="E88">
        <v>9</v>
      </c>
      <c r="F88">
        <v>8500</v>
      </c>
      <c r="G88" s="2">
        <f t="shared" si="3"/>
        <v>76500</v>
      </c>
      <c r="H88" t="str">
        <f t="shared" si="4"/>
        <v>High</v>
      </c>
      <c r="I88" t="s">
        <v>8</v>
      </c>
      <c r="L88" t="s">
        <v>24</v>
      </c>
      <c r="M88" s="3">
        <f t="shared" si="5"/>
        <v>2514250</v>
      </c>
    </row>
    <row r="89" spans="1:13" ht="15.75" x14ac:dyDescent="0.3">
      <c r="A89" s="1">
        <v>45472</v>
      </c>
      <c r="B89" t="s">
        <v>25</v>
      </c>
      <c r="C89" t="s">
        <v>22</v>
      </c>
      <c r="D89" t="s">
        <v>10</v>
      </c>
      <c r="E89">
        <v>2</v>
      </c>
      <c r="F89">
        <v>150</v>
      </c>
      <c r="G89" s="2">
        <f t="shared" si="3"/>
        <v>300</v>
      </c>
      <c r="H89" t="str">
        <f t="shared" si="4"/>
        <v>Low</v>
      </c>
      <c r="I89" t="s">
        <v>11</v>
      </c>
      <c r="L89" t="s">
        <v>25</v>
      </c>
      <c r="M89" s="3">
        <f t="shared" si="5"/>
        <v>2243250</v>
      </c>
    </row>
    <row r="90" spans="1:13" ht="15.75" x14ac:dyDescent="0.3">
      <c r="A90" s="1">
        <v>45539</v>
      </c>
      <c r="B90" t="s">
        <v>15</v>
      </c>
      <c r="C90" t="s">
        <v>22</v>
      </c>
      <c r="D90" t="s">
        <v>10</v>
      </c>
      <c r="E90">
        <v>10</v>
      </c>
      <c r="F90">
        <v>300</v>
      </c>
      <c r="G90" s="2">
        <f t="shared" si="3"/>
        <v>3000</v>
      </c>
      <c r="H90" t="str">
        <f t="shared" si="4"/>
        <v>Low</v>
      </c>
      <c r="I90" t="s">
        <v>8</v>
      </c>
      <c r="L90" t="s">
        <v>15</v>
      </c>
      <c r="M90" s="3">
        <f t="shared" si="5"/>
        <v>2145050</v>
      </c>
    </row>
    <row r="91" spans="1:13" ht="15.75" x14ac:dyDescent="0.3">
      <c r="A91" s="1">
        <v>45555</v>
      </c>
      <c r="B91" t="s">
        <v>26</v>
      </c>
      <c r="C91" t="s">
        <v>21</v>
      </c>
      <c r="D91" t="s">
        <v>7</v>
      </c>
      <c r="E91">
        <v>8</v>
      </c>
      <c r="F91">
        <v>300</v>
      </c>
      <c r="G91" s="2">
        <f t="shared" si="3"/>
        <v>2400</v>
      </c>
      <c r="H91" t="str">
        <f t="shared" si="4"/>
        <v>Low</v>
      </c>
      <c r="I91" t="s">
        <v>14</v>
      </c>
      <c r="L91" t="s">
        <v>26</v>
      </c>
      <c r="M91" s="3">
        <f t="shared" si="5"/>
        <v>2430500</v>
      </c>
    </row>
    <row r="92" spans="1:13" ht="15.75" x14ac:dyDescent="0.3">
      <c r="A92" s="1">
        <v>45310</v>
      </c>
      <c r="B92" t="s">
        <v>23</v>
      </c>
      <c r="C92" t="s">
        <v>22</v>
      </c>
      <c r="D92" t="s">
        <v>10</v>
      </c>
      <c r="E92">
        <v>8</v>
      </c>
      <c r="F92">
        <v>150</v>
      </c>
      <c r="G92" s="2">
        <f t="shared" si="3"/>
        <v>1200</v>
      </c>
      <c r="H92" t="str">
        <f t="shared" si="4"/>
        <v>Low</v>
      </c>
      <c r="I92" t="s">
        <v>11</v>
      </c>
      <c r="L92" t="s">
        <v>23</v>
      </c>
      <c r="M92" s="3">
        <f t="shared" si="5"/>
        <v>2202100</v>
      </c>
    </row>
    <row r="93" spans="1:13" ht="15.75" x14ac:dyDescent="0.3">
      <c r="A93" s="1">
        <v>45444</v>
      </c>
      <c r="B93" t="s">
        <v>19</v>
      </c>
      <c r="C93" t="s">
        <v>22</v>
      </c>
      <c r="D93" t="s">
        <v>18</v>
      </c>
      <c r="E93">
        <v>4</v>
      </c>
      <c r="F93">
        <v>300</v>
      </c>
      <c r="G93" s="2">
        <f t="shared" si="3"/>
        <v>1200</v>
      </c>
      <c r="H93" t="str">
        <f t="shared" si="4"/>
        <v>Low</v>
      </c>
      <c r="I93" t="s">
        <v>8</v>
      </c>
      <c r="L93" t="s">
        <v>19</v>
      </c>
      <c r="M93" s="3">
        <f t="shared" si="5"/>
        <v>2179300</v>
      </c>
    </row>
    <row r="94" spans="1:13" ht="15.75" x14ac:dyDescent="0.3">
      <c r="A94" s="1">
        <v>45655</v>
      </c>
      <c r="B94" t="s">
        <v>12</v>
      </c>
      <c r="C94" t="s">
        <v>6</v>
      </c>
      <c r="D94" t="s">
        <v>7</v>
      </c>
      <c r="E94">
        <v>7</v>
      </c>
      <c r="F94">
        <v>3200</v>
      </c>
      <c r="G94" s="2">
        <f t="shared" si="3"/>
        <v>22400</v>
      </c>
      <c r="H94" t="str">
        <f t="shared" si="4"/>
        <v>High</v>
      </c>
      <c r="I94" t="s">
        <v>14</v>
      </c>
      <c r="L94" t="s">
        <v>12</v>
      </c>
      <c r="M94" s="3">
        <f t="shared" si="5"/>
        <v>2865050</v>
      </c>
    </row>
    <row r="95" spans="1:13" ht="15.75" x14ac:dyDescent="0.3">
      <c r="A95" s="1">
        <v>45312</v>
      </c>
      <c r="B95" t="s">
        <v>15</v>
      </c>
      <c r="C95" t="s">
        <v>21</v>
      </c>
      <c r="D95" t="s">
        <v>18</v>
      </c>
      <c r="E95">
        <v>4</v>
      </c>
      <c r="F95">
        <v>150</v>
      </c>
      <c r="G95" s="2">
        <f t="shared" si="3"/>
        <v>600</v>
      </c>
      <c r="H95" t="str">
        <f t="shared" si="4"/>
        <v>Low</v>
      </c>
      <c r="I95" t="s">
        <v>14</v>
      </c>
      <c r="L95" t="s">
        <v>15</v>
      </c>
      <c r="M95" s="3">
        <f t="shared" si="5"/>
        <v>2145050</v>
      </c>
    </row>
    <row r="96" spans="1:13" ht="15.75" x14ac:dyDescent="0.3">
      <c r="A96" s="1">
        <v>45449</v>
      </c>
      <c r="B96" t="s">
        <v>15</v>
      </c>
      <c r="C96" t="s">
        <v>13</v>
      </c>
      <c r="D96" t="s">
        <v>7</v>
      </c>
      <c r="E96">
        <v>8</v>
      </c>
      <c r="F96">
        <v>3200</v>
      </c>
      <c r="G96" s="2">
        <f t="shared" si="3"/>
        <v>25600</v>
      </c>
      <c r="H96" t="str">
        <f t="shared" si="4"/>
        <v>High</v>
      </c>
      <c r="I96" t="s">
        <v>8</v>
      </c>
      <c r="L96" t="s">
        <v>15</v>
      </c>
      <c r="M96" s="3">
        <f t="shared" si="5"/>
        <v>2145050</v>
      </c>
    </row>
    <row r="97" spans="1:13" ht="15.75" x14ac:dyDescent="0.3">
      <c r="A97" s="1">
        <v>45540</v>
      </c>
      <c r="B97" t="s">
        <v>23</v>
      </c>
      <c r="C97" t="s">
        <v>6</v>
      </c>
      <c r="D97" t="s">
        <v>10</v>
      </c>
      <c r="E97">
        <v>8</v>
      </c>
      <c r="F97">
        <v>150</v>
      </c>
      <c r="G97" s="2">
        <f t="shared" si="3"/>
        <v>1200</v>
      </c>
      <c r="H97" t="str">
        <f t="shared" si="4"/>
        <v>Low</v>
      </c>
      <c r="I97" t="s">
        <v>8</v>
      </c>
      <c r="L97" t="s">
        <v>23</v>
      </c>
      <c r="M97" s="3">
        <f t="shared" si="5"/>
        <v>2202100</v>
      </c>
    </row>
    <row r="98" spans="1:13" ht="15.75" x14ac:dyDescent="0.3">
      <c r="A98" s="1">
        <v>45376</v>
      </c>
      <c r="B98" t="s">
        <v>23</v>
      </c>
      <c r="C98" t="s">
        <v>21</v>
      </c>
      <c r="D98" t="s">
        <v>10</v>
      </c>
      <c r="E98">
        <v>3</v>
      </c>
      <c r="F98">
        <v>300</v>
      </c>
      <c r="G98" s="2">
        <f t="shared" si="3"/>
        <v>900</v>
      </c>
      <c r="H98" t="str">
        <f t="shared" si="4"/>
        <v>Low</v>
      </c>
      <c r="I98" t="s">
        <v>11</v>
      </c>
      <c r="L98" t="s">
        <v>23</v>
      </c>
      <c r="M98" s="3">
        <f t="shared" si="5"/>
        <v>2202100</v>
      </c>
    </row>
    <row r="99" spans="1:13" ht="15.75" x14ac:dyDescent="0.3">
      <c r="A99" s="1">
        <v>45550</v>
      </c>
      <c r="B99" t="s">
        <v>24</v>
      </c>
      <c r="C99" t="s">
        <v>22</v>
      </c>
      <c r="D99" t="s">
        <v>18</v>
      </c>
      <c r="E99">
        <v>4</v>
      </c>
      <c r="F99">
        <v>300</v>
      </c>
      <c r="G99" s="2">
        <f t="shared" si="3"/>
        <v>1200</v>
      </c>
      <c r="H99" t="str">
        <f t="shared" si="4"/>
        <v>Low</v>
      </c>
      <c r="I99" t="s">
        <v>14</v>
      </c>
      <c r="L99" t="s">
        <v>24</v>
      </c>
      <c r="M99" s="3">
        <f t="shared" si="5"/>
        <v>2514250</v>
      </c>
    </row>
    <row r="100" spans="1:13" ht="15.75" x14ac:dyDescent="0.3">
      <c r="A100" s="1">
        <v>45507</v>
      </c>
      <c r="B100" t="s">
        <v>9</v>
      </c>
      <c r="C100" t="s">
        <v>6</v>
      </c>
      <c r="D100" t="s">
        <v>18</v>
      </c>
      <c r="E100">
        <v>5</v>
      </c>
      <c r="F100">
        <v>3200</v>
      </c>
      <c r="G100" s="2">
        <f t="shared" si="3"/>
        <v>16000</v>
      </c>
      <c r="H100" t="str">
        <f t="shared" si="4"/>
        <v>High</v>
      </c>
      <c r="I100" t="s">
        <v>8</v>
      </c>
      <c r="L100" t="s">
        <v>9</v>
      </c>
      <c r="M100" s="3">
        <f t="shared" si="5"/>
        <v>1849750</v>
      </c>
    </row>
    <row r="101" spans="1:13" ht="15.75" x14ac:dyDescent="0.3">
      <c r="A101" s="1">
        <v>45466</v>
      </c>
      <c r="B101" t="s">
        <v>25</v>
      </c>
      <c r="C101" t="s">
        <v>21</v>
      </c>
      <c r="D101" t="s">
        <v>18</v>
      </c>
      <c r="E101">
        <v>2</v>
      </c>
      <c r="F101">
        <v>3200</v>
      </c>
      <c r="G101" s="2">
        <f t="shared" si="3"/>
        <v>6400</v>
      </c>
      <c r="H101" t="str">
        <f t="shared" si="4"/>
        <v>Low</v>
      </c>
      <c r="I101" t="s">
        <v>14</v>
      </c>
      <c r="L101" t="s">
        <v>25</v>
      </c>
      <c r="M101" s="3">
        <f t="shared" si="5"/>
        <v>2243250</v>
      </c>
    </row>
    <row r="102" spans="1:13" ht="15.75" x14ac:dyDescent="0.3">
      <c r="A102" s="1">
        <v>45423</v>
      </c>
      <c r="B102" t="s">
        <v>24</v>
      </c>
      <c r="C102" t="s">
        <v>16</v>
      </c>
      <c r="D102" t="s">
        <v>17</v>
      </c>
      <c r="E102">
        <v>4</v>
      </c>
      <c r="F102">
        <v>3200</v>
      </c>
      <c r="G102" s="2">
        <f t="shared" si="3"/>
        <v>12800</v>
      </c>
      <c r="H102" t="str">
        <f t="shared" si="4"/>
        <v>High</v>
      </c>
      <c r="I102" t="s">
        <v>8</v>
      </c>
      <c r="L102" t="s">
        <v>24</v>
      </c>
      <c r="M102" s="3">
        <f t="shared" si="5"/>
        <v>2514250</v>
      </c>
    </row>
    <row r="103" spans="1:13" ht="15.75" x14ac:dyDescent="0.3">
      <c r="A103" s="1">
        <v>45391</v>
      </c>
      <c r="B103" t="s">
        <v>26</v>
      </c>
      <c r="C103" t="s">
        <v>13</v>
      </c>
      <c r="D103" t="s">
        <v>18</v>
      </c>
      <c r="E103">
        <v>7</v>
      </c>
      <c r="F103">
        <v>4500</v>
      </c>
      <c r="G103" s="2">
        <f t="shared" si="3"/>
        <v>31500</v>
      </c>
      <c r="H103" t="str">
        <f t="shared" si="4"/>
        <v>High</v>
      </c>
      <c r="I103" t="s">
        <v>8</v>
      </c>
      <c r="L103" t="s">
        <v>26</v>
      </c>
      <c r="M103" s="3">
        <f t="shared" si="5"/>
        <v>2430500</v>
      </c>
    </row>
    <row r="104" spans="1:13" ht="15.75" x14ac:dyDescent="0.3">
      <c r="A104" s="1">
        <v>45639</v>
      </c>
      <c r="B104" t="s">
        <v>26</v>
      </c>
      <c r="C104" t="s">
        <v>16</v>
      </c>
      <c r="D104" t="s">
        <v>10</v>
      </c>
      <c r="E104">
        <v>10</v>
      </c>
      <c r="F104">
        <v>3200</v>
      </c>
      <c r="G104" s="2">
        <f t="shared" si="3"/>
        <v>32000</v>
      </c>
      <c r="H104" t="str">
        <f t="shared" si="4"/>
        <v>High</v>
      </c>
      <c r="I104" t="s">
        <v>14</v>
      </c>
      <c r="L104" t="s">
        <v>26</v>
      </c>
      <c r="M104" s="3">
        <f t="shared" si="5"/>
        <v>2430500</v>
      </c>
    </row>
    <row r="105" spans="1:13" ht="15.75" x14ac:dyDescent="0.3">
      <c r="A105" s="1">
        <v>45634</v>
      </c>
      <c r="B105" t="s">
        <v>19</v>
      </c>
      <c r="C105" t="s">
        <v>6</v>
      </c>
      <c r="D105" t="s">
        <v>7</v>
      </c>
      <c r="E105">
        <v>9</v>
      </c>
      <c r="F105">
        <v>300</v>
      </c>
      <c r="G105" s="2">
        <f t="shared" si="3"/>
        <v>2700</v>
      </c>
      <c r="H105" t="str">
        <f t="shared" si="4"/>
        <v>Low</v>
      </c>
      <c r="I105" t="s">
        <v>11</v>
      </c>
      <c r="L105" t="s">
        <v>19</v>
      </c>
      <c r="M105" s="3">
        <f t="shared" si="5"/>
        <v>2179300</v>
      </c>
    </row>
    <row r="106" spans="1:13" ht="15.75" x14ac:dyDescent="0.3">
      <c r="A106" s="1">
        <v>45518</v>
      </c>
      <c r="B106" t="s">
        <v>15</v>
      </c>
      <c r="C106" t="s">
        <v>22</v>
      </c>
      <c r="D106" t="s">
        <v>17</v>
      </c>
      <c r="E106">
        <v>2</v>
      </c>
      <c r="F106">
        <v>150</v>
      </c>
      <c r="G106" s="2">
        <f t="shared" si="3"/>
        <v>300</v>
      </c>
      <c r="H106" t="str">
        <f t="shared" si="4"/>
        <v>Low</v>
      </c>
      <c r="I106" t="s">
        <v>8</v>
      </c>
      <c r="L106" t="s">
        <v>15</v>
      </c>
      <c r="M106" s="3">
        <f t="shared" si="5"/>
        <v>2145050</v>
      </c>
    </row>
    <row r="107" spans="1:13" ht="15.75" x14ac:dyDescent="0.3">
      <c r="A107" s="1">
        <v>45306</v>
      </c>
      <c r="B107" t="s">
        <v>15</v>
      </c>
      <c r="C107" t="s">
        <v>13</v>
      </c>
      <c r="D107" t="s">
        <v>10</v>
      </c>
      <c r="E107">
        <v>5</v>
      </c>
      <c r="F107">
        <v>4500</v>
      </c>
      <c r="G107" s="2">
        <f t="shared" si="3"/>
        <v>22500</v>
      </c>
      <c r="H107" t="str">
        <f t="shared" si="4"/>
        <v>High</v>
      </c>
      <c r="I107" t="s">
        <v>11</v>
      </c>
      <c r="L107" t="s">
        <v>15</v>
      </c>
      <c r="M107" s="3">
        <f t="shared" si="5"/>
        <v>2145050</v>
      </c>
    </row>
    <row r="108" spans="1:13" ht="15.75" x14ac:dyDescent="0.3">
      <c r="A108" s="1">
        <v>45588</v>
      </c>
      <c r="B108" t="s">
        <v>24</v>
      </c>
      <c r="C108" t="s">
        <v>22</v>
      </c>
      <c r="D108" t="s">
        <v>7</v>
      </c>
      <c r="E108">
        <v>4</v>
      </c>
      <c r="F108">
        <v>300</v>
      </c>
      <c r="G108" s="2">
        <f t="shared" si="3"/>
        <v>1200</v>
      </c>
      <c r="H108" t="str">
        <f t="shared" si="4"/>
        <v>Low</v>
      </c>
      <c r="I108" t="s">
        <v>14</v>
      </c>
      <c r="L108" t="s">
        <v>24</v>
      </c>
      <c r="M108" s="3">
        <f t="shared" si="5"/>
        <v>2514250</v>
      </c>
    </row>
    <row r="109" spans="1:13" ht="15.75" x14ac:dyDescent="0.3">
      <c r="A109" s="1">
        <v>45370</v>
      </c>
      <c r="B109" t="s">
        <v>12</v>
      </c>
      <c r="C109" t="s">
        <v>6</v>
      </c>
      <c r="D109" t="s">
        <v>10</v>
      </c>
      <c r="E109">
        <v>8</v>
      </c>
      <c r="F109">
        <v>150</v>
      </c>
      <c r="G109" s="2">
        <f t="shared" si="3"/>
        <v>1200</v>
      </c>
      <c r="H109" t="str">
        <f t="shared" si="4"/>
        <v>Low</v>
      </c>
      <c r="I109" t="s">
        <v>14</v>
      </c>
      <c r="L109" t="s">
        <v>12</v>
      </c>
      <c r="M109" s="3">
        <f t="shared" si="5"/>
        <v>2865050</v>
      </c>
    </row>
    <row r="110" spans="1:13" ht="15.75" x14ac:dyDescent="0.3">
      <c r="A110" s="1">
        <v>45628</v>
      </c>
      <c r="B110" t="s">
        <v>9</v>
      </c>
      <c r="C110" t="s">
        <v>13</v>
      </c>
      <c r="D110" t="s">
        <v>18</v>
      </c>
      <c r="E110">
        <v>5</v>
      </c>
      <c r="F110">
        <v>300</v>
      </c>
      <c r="G110" s="2">
        <f t="shared" si="3"/>
        <v>1500</v>
      </c>
      <c r="H110" t="str">
        <f t="shared" si="4"/>
        <v>Low</v>
      </c>
      <c r="I110" t="s">
        <v>11</v>
      </c>
      <c r="L110" t="s">
        <v>9</v>
      </c>
      <c r="M110" s="3">
        <f t="shared" si="5"/>
        <v>1849750</v>
      </c>
    </row>
    <row r="111" spans="1:13" ht="15.75" x14ac:dyDescent="0.3">
      <c r="A111" s="1">
        <v>45432</v>
      </c>
      <c r="B111" t="s">
        <v>12</v>
      </c>
      <c r="C111" t="s">
        <v>22</v>
      </c>
      <c r="D111" t="s">
        <v>7</v>
      </c>
      <c r="E111">
        <v>8</v>
      </c>
      <c r="F111">
        <v>3200</v>
      </c>
      <c r="G111" s="2">
        <f t="shared" si="3"/>
        <v>25600</v>
      </c>
      <c r="H111" t="str">
        <f t="shared" si="4"/>
        <v>High</v>
      </c>
      <c r="I111" t="s">
        <v>11</v>
      </c>
      <c r="L111" t="s">
        <v>12</v>
      </c>
      <c r="M111" s="3">
        <f t="shared" si="5"/>
        <v>2865050</v>
      </c>
    </row>
    <row r="112" spans="1:13" ht="15.75" x14ac:dyDescent="0.3">
      <c r="A112" s="1">
        <v>45601</v>
      </c>
      <c r="B112" t="s">
        <v>12</v>
      </c>
      <c r="C112" t="s">
        <v>16</v>
      </c>
      <c r="D112" t="s">
        <v>7</v>
      </c>
      <c r="E112">
        <v>8</v>
      </c>
      <c r="F112">
        <v>150</v>
      </c>
      <c r="G112" s="2">
        <f t="shared" si="3"/>
        <v>1200</v>
      </c>
      <c r="H112" t="str">
        <f t="shared" si="4"/>
        <v>Low</v>
      </c>
      <c r="I112" t="s">
        <v>14</v>
      </c>
      <c r="L112" t="s">
        <v>12</v>
      </c>
      <c r="M112" s="3">
        <f t="shared" si="5"/>
        <v>2865050</v>
      </c>
    </row>
    <row r="113" spans="1:13" ht="15.75" x14ac:dyDescent="0.3">
      <c r="A113" s="1">
        <v>45383</v>
      </c>
      <c r="B113" t="s">
        <v>25</v>
      </c>
      <c r="C113" t="s">
        <v>16</v>
      </c>
      <c r="D113" t="s">
        <v>7</v>
      </c>
      <c r="E113">
        <v>3</v>
      </c>
      <c r="F113">
        <v>150</v>
      </c>
      <c r="G113" s="2">
        <f t="shared" si="3"/>
        <v>450</v>
      </c>
      <c r="H113" t="str">
        <f t="shared" si="4"/>
        <v>Low</v>
      </c>
      <c r="I113" t="s">
        <v>8</v>
      </c>
      <c r="L113" t="s">
        <v>25</v>
      </c>
      <c r="M113" s="3">
        <f t="shared" si="5"/>
        <v>2243250</v>
      </c>
    </row>
    <row r="114" spans="1:13" ht="15.75" x14ac:dyDescent="0.3">
      <c r="A114" s="1">
        <v>45341</v>
      </c>
      <c r="B114" t="s">
        <v>9</v>
      </c>
      <c r="C114" t="s">
        <v>16</v>
      </c>
      <c r="D114" t="s">
        <v>20</v>
      </c>
      <c r="E114">
        <v>2</v>
      </c>
      <c r="F114">
        <v>150</v>
      </c>
      <c r="G114" s="2">
        <f t="shared" si="3"/>
        <v>300</v>
      </c>
      <c r="H114" t="str">
        <f t="shared" si="4"/>
        <v>Low</v>
      </c>
      <c r="I114" t="s">
        <v>8</v>
      </c>
      <c r="L114" t="s">
        <v>9</v>
      </c>
      <c r="M114" s="3">
        <f t="shared" si="5"/>
        <v>1849750</v>
      </c>
    </row>
    <row r="115" spans="1:13" ht="15.75" x14ac:dyDescent="0.3">
      <c r="A115" s="1">
        <v>45593</v>
      </c>
      <c r="B115" t="s">
        <v>25</v>
      </c>
      <c r="C115" t="s">
        <v>22</v>
      </c>
      <c r="D115" t="s">
        <v>10</v>
      </c>
      <c r="E115">
        <v>7</v>
      </c>
      <c r="F115">
        <v>8500</v>
      </c>
      <c r="G115" s="2">
        <f t="shared" si="3"/>
        <v>59500</v>
      </c>
      <c r="H115" t="str">
        <f t="shared" si="4"/>
        <v>High</v>
      </c>
      <c r="I115" t="s">
        <v>14</v>
      </c>
      <c r="L115" t="s">
        <v>25</v>
      </c>
      <c r="M115" s="3">
        <f t="shared" si="5"/>
        <v>2243250</v>
      </c>
    </row>
    <row r="116" spans="1:13" ht="15.75" x14ac:dyDescent="0.3">
      <c r="A116" s="1">
        <v>45306</v>
      </c>
      <c r="B116" t="s">
        <v>12</v>
      </c>
      <c r="C116" t="s">
        <v>22</v>
      </c>
      <c r="D116" t="s">
        <v>20</v>
      </c>
      <c r="E116">
        <v>9</v>
      </c>
      <c r="F116">
        <v>300</v>
      </c>
      <c r="G116" s="2">
        <f t="shared" si="3"/>
        <v>2700</v>
      </c>
      <c r="H116" t="str">
        <f t="shared" si="4"/>
        <v>Low</v>
      </c>
      <c r="I116" t="s">
        <v>8</v>
      </c>
      <c r="L116" t="s">
        <v>12</v>
      </c>
      <c r="M116" s="3">
        <f t="shared" si="5"/>
        <v>2865050</v>
      </c>
    </row>
    <row r="117" spans="1:13" ht="15.75" x14ac:dyDescent="0.3">
      <c r="A117" s="1">
        <v>45551</v>
      </c>
      <c r="B117" t="s">
        <v>24</v>
      </c>
      <c r="C117" t="s">
        <v>21</v>
      </c>
      <c r="D117" t="s">
        <v>7</v>
      </c>
      <c r="E117">
        <v>6</v>
      </c>
      <c r="F117">
        <v>8500</v>
      </c>
      <c r="G117" s="2">
        <f t="shared" si="3"/>
        <v>51000</v>
      </c>
      <c r="H117" t="str">
        <f t="shared" si="4"/>
        <v>High</v>
      </c>
      <c r="I117" t="s">
        <v>8</v>
      </c>
      <c r="L117" t="s">
        <v>24</v>
      </c>
      <c r="M117" s="3">
        <f t="shared" si="5"/>
        <v>2514250</v>
      </c>
    </row>
    <row r="118" spans="1:13" ht="15.75" x14ac:dyDescent="0.3">
      <c r="A118" s="1">
        <v>45564</v>
      </c>
      <c r="B118" t="s">
        <v>24</v>
      </c>
      <c r="C118" t="s">
        <v>6</v>
      </c>
      <c r="D118" t="s">
        <v>17</v>
      </c>
      <c r="E118">
        <v>2</v>
      </c>
      <c r="F118">
        <v>150</v>
      </c>
      <c r="G118" s="2">
        <f t="shared" si="3"/>
        <v>300</v>
      </c>
      <c r="H118" t="str">
        <f t="shared" si="4"/>
        <v>Low</v>
      </c>
      <c r="I118" t="s">
        <v>8</v>
      </c>
      <c r="L118" t="s">
        <v>24</v>
      </c>
      <c r="M118" s="3">
        <f t="shared" si="5"/>
        <v>2514250</v>
      </c>
    </row>
    <row r="119" spans="1:13" ht="15.75" x14ac:dyDescent="0.3">
      <c r="A119" s="1">
        <v>45514</v>
      </c>
      <c r="B119" t="s">
        <v>9</v>
      </c>
      <c r="C119" t="s">
        <v>16</v>
      </c>
      <c r="D119" t="s">
        <v>7</v>
      </c>
      <c r="E119">
        <v>8</v>
      </c>
      <c r="F119">
        <v>4500</v>
      </c>
      <c r="G119" s="2">
        <f t="shared" si="3"/>
        <v>36000</v>
      </c>
      <c r="H119" t="str">
        <f t="shared" si="4"/>
        <v>High</v>
      </c>
      <c r="I119" t="s">
        <v>11</v>
      </c>
      <c r="L119" t="s">
        <v>9</v>
      </c>
      <c r="M119" s="3">
        <f t="shared" si="5"/>
        <v>1849750</v>
      </c>
    </row>
    <row r="120" spans="1:13" ht="15.75" x14ac:dyDescent="0.3">
      <c r="A120" s="1">
        <v>45327</v>
      </c>
      <c r="B120" t="s">
        <v>26</v>
      </c>
      <c r="C120" t="s">
        <v>22</v>
      </c>
      <c r="D120" t="s">
        <v>18</v>
      </c>
      <c r="E120">
        <v>8</v>
      </c>
      <c r="F120">
        <v>150</v>
      </c>
      <c r="G120" s="2">
        <f t="shared" si="3"/>
        <v>1200</v>
      </c>
      <c r="H120" t="str">
        <f t="shared" si="4"/>
        <v>Low</v>
      </c>
      <c r="I120" t="s">
        <v>14</v>
      </c>
      <c r="L120" t="s">
        <v>26</v>
      </c>
      <c r="M120" s="3">
        <f t="shared" si="5"/>
        <v>2430500</v>
      </c>
    </row>
    <row r="121" spans="1:13" ht="15.75" x14ac:dyDescent="0.3">
      <c r="A121" s="1">
        <v>45380</v>
      </c>
      <c r="B121" t="s">
        <v>19</v>
      </c>
      <c r="C121" t="s">
        <v>13</v>
      </c>
      <c r="D121" t="s">
        <v>20</v>
      </c>
      <c r="E121">
        <v>3</v>
      </c>
      <c r="F121">
        <v>3200</v>
      </c>
      <c r="G121" s="2">
        <f t="shared" si="3"/>
        <v>9600</v>
      </c>
      <c r="H121" t="str">
        <f t="shared" si="4"/>
        <v>Low</v>
      </c>
      <c r="I121" t="s">
        <v>11</v>
      </c>
      <c r="L121" t="s">
        <v>19</v>
      </c>
      <c r="M121" s="3">
        <f t="shared" si="5"/>
        <v>2179300</v>
      </c>
    </row>
    <row r="122" spans="1:13" ht="15.75" x14ac:dyDescent="0.3">
      <c r="A122" s="1">
        <v>45337</v>
      </c>
      <c r="B122" t="s">
        <v>24</v>
      </c>
      <c r="C122" t="s">
        <v>16</v>
      </c>
      <c r="D122" t="s">
        <v>7</v>
      </c>
      <c r="E122">
        <v>1</v>
      </c>
      <c r="F122">
        <v>8500</v>
      </c>
      <c r="G122" s="2">
        <f t="shared" si="3"/>
        <v>8500</v>
      </c>
      <c r="H122" t="str">
        <f t="shared" si="4"/>
        <v>Low</v>
      </c>
      <c r="I122" t="s">
        <v>14</v>
      </c>
      <c r="L122" t="s">
        <v>24</v>
      </c>
      <c r="M122" s="3">
        <f t="shared" si="5"/>
        <v>2514250</v>
      </c>
    </row>
    <row r="123" spans="1:13" ht="15.75" x14ac:dyDescent="0.3">
      <c r="A123" s="1">
        <v>45524</v>
      </c>
      <c r="B123" t="s">
        <v>25</v>
      </c>
      <c r="C123" t="s">
        <v>22</v>
      </c>
      <c r="D123" t="s">
        <v>10</v>
      </c>
      <c r="E123">
        <v>2</v>
      </c>
      <c r="F123">
        <v>150</v>
      </c>
      <c r="G123" s="2">
        <f t="shared" si="3"/>
        <v>300</v>
      </c>
      <c r="H123" t="str">
        <f t="shared" si="4"/>
        <v>Low</v>
      </c>
      <c r="I123" t="s">
        <v>8</v>
      </c>
      <c r="L123" t="s">
        <v>25</v>
      </c>
      <c r="M123" s="3">
        <f t="shared" si="5"/>
        <v>2243250</v>
      </c>
    </row>
    <row r="124" spans="1:13" ht="15.75" x14ac:dyDescent="0.3">
      <c r="A124" s="1">
        <v>45575</v>
      </c>
      <c r="B124" t="s">
        <v>12</v>
      </c>
      <c r="C124" t="s">
        <v>16</v>
      </c>
      <c r="D124" t="s">
        <v>17</v>
      </c>
      <c r="E124">
        <v>7</v>
      </c>
      <c r="F124">
        <v>300</v>
      </c>
      <c r="G124" s="2">
        <f t="shared" si="3"/>
        <v>2100</v>
      </c>
      <c r="H124" t="str">
        <f t="shared" si="4"/>
        <v>Low</v>
      </c>
      <c r="I124" t="s">
        <v>14</v>
      </c>
      <c r="L124" t="s">
        <v>12</v>
      </c>
      <c r="M124" s="3">
        <f t="shared" si="5"/>
        <v>2865050</v>
      </c>
    </row>
    <row r="125" spans="1:13" ht="15.75" x14ac:dyDescent="0.3">
      <c r="A125" s="1">
        <v>45519</v>
      </c>
      <c r="B125" t="s">
        <v>19</v>
      </c>
      <c r="C125" t="s">
        <v>22</v>
      </c>
      <c r="D125" t="s">
        <v>20</v>
      </c>
      <c r="E125">
        <v>5</v>
      </c>
      <c r="F125">
        <v>4500</v>
      </c>
      <c r="G125" s="2">
        <f t="shared" si="3"/>
        <v>22500</v>
      </c>
      <c r="H125" t="str">
        <f t="shared" si="4"/>
        <v>High</v>
      </c>
      <c r="I125" t="s">
        <v>14</v>
      </c>
      <c r="L125" t="s">
        <v>19</v>
      </c>
      <c r="M125" s="3">
        <f t="shared" si="5"/>
        <v>2179300</v>
      </c>
    </row>
    <row r="126" spans="1:13" ht="15.75" x14ac:dyDescent="0.3">
      <c r="A126" s="1">
        <v>45647</v>
      </c>
      <c r="B126" t="s">
        <v>15</v>
      </c>
      <c r="C126" t="s">
        <v>13</v>
      </c>
      <c r="D126" t="s">
        <v>17</v>
      </c>
      <c r="E126">
        <v>4</v>
      </c>
      <c r="F126">
        <v>8500</v>
      </c>
      <c r="G126" s="2">
        <f t="shared" si="3"/>
        <v>34000</v>
      </c>
      <c r="H126" t="str">
        <f t="shared" si="4"/>
        <v>High</v>
      </c>
      <c r="I126" t="s">
        <v>14</v>
      </c>
      <c r="L126" t="s">
        <v>15</v>
      </c>
      <c r="M126" s="3">
        <f t="shared" si="5"/>
        <v>2145050</v>
      </c>
    </row>
    <row r="127" spans="1:13" ht="15.75" x14ac:dyDescent="0.3">
      <c r="A127" s="1">
        <v>45605</v>
      </c>
      <c r="B127" t="s">
        <v>9</v>
      </c>
      <c r="C127" t="s">
        <v>16</v>
      </c>
      <c r="D127" t="s">
        <v>20</v>
      </c>
      <c r="E127">
        <v>6</v>
      </c>
      <c r="F127">
        <v>4500</v>
      </c>
      <c r="G127" s="2">
        <f t="shared" si="3"/>
        <v>27000</v>
      </c>
      <c r="H127" t="str">
        <f t="shared" si="4"/>
        <v>High</v>
      </c>
      <c r="I127" t="s">
        <v>8</v>
      </c>
      <c r="L127" t="s">
        <v>9</v>
      </c>
      <c r="M127" s="3">
        <f t="shared" si="5"/>
        <v>1849750</v>
      </c>
    </row>
    <row r="128" spans="1:13" ht="15.75" x14ac:dyDescent="0.3">
      <c r="A128" s="1">
        <v>45499</v>
      </c>
      <c r="B128" t="s">
        <v>15</v>
      </c>
      <c r="C128" t="s">
        <v>22</v>
      </c>
      <c r="D128" t="s">
        <v>20</v>
      </c>
      <c r="E128">
        <v>8</v>
      </c>
      <c r="F128">
        <v>8500</v>
      </c>
      <c r="G128" s="2">
        <f t="shared" si="3"/>
        <v>68000</v>
      </c>
      <c r="H128" t="str">
        <f t="shared" si="4"/>
        <v>High</v>
      </c>
      <c r="I128" t="s">
        <v>14</v>
      </c>
      <c r="L128" t="s">
        <v>15</v>
      </c>
      <c r="M128" s="3">
        <f t="shared" si="5"/>
        <v>2145050</v>
      </c>
    </row>
    <row r="129" spans="1:13" ht="15.75" x14ac:dyDescent="0.3">
      <c r="A129" s="1">
        <v>45464</v>
      </c>
      <c r="B129" t="s">
        <v>25</v>
      </c>
      <c r="C129" t="s">
        <v>13</v>
      </c>
      <c r="D129" t="s">
        <v>10</v>
      </c>
      <c r="E129">
        <v>5</v>
      </c>
      <c r="F129">
        <v>8500</v>
      </c>
      <c r="G129" s="2">
        <f t="shared" si="3"/>
        <v>42500</v>
      </c>
      <c r="H129" t="str">
        <f t="shared" si="4"/>
        <v>High</v>
      </c>
      <c r="I129" t="s">
        <v>11</v>
      </c>
      <c r="L129" t="s">
        <v>25</v>
      </c>
      <c r="M129" s="3">
        <f t="shared" si="5"/>
        <v>2243250</v>
      </c>
    </row>
    <row r="130" spans="1:13" ht="15.75" x14ac:dyDescent="0.3">
      <c r="A130" s="1">
        <v>45293</v>
      </c>
      <c r="B130" t="s">
        <v>23</v>
      </c>
      <c r="C130" t="s">
        <v>13</v>
      </c>
      <c r="D130" t="s">
        <v>10</v>
      </c>
      <c r="E130">
        <v>3</v>
      </c>
      <c r="F130">
        <v>300</v>
      </c>
      <c r="G130" s="2">
        <f t="shared" si="3"/>
        <v>900</v>
      </c>
      <c r="H130" t="str">
        <f t="shared" si="4"/>
        <v>Low</v>
      </c>
      <c r="I130" t="s">
        <v>11</v>
      </c>
      <c r="L130" t="s">
        <v>23</v>
      </c>
      <c r="M130" s="3">
        <f t="shared" si="5"/>
        <v>2202100</v>
      </c>
    </row>
    <row r="131" spans="1:13" ht="15.75" x14ac:dyDescent="0.3">
      <c r="A131" s="1">
        <v>45566</v>
      </c>
      <c r="B131" t="s">
        <v>15</v>
      </c>
      <c r="C131" t="s">
        <v>16</v>
      </c>
      <c r="D131" t="s">
        <v>7</v>
      </c>
      <c r="E131">
        <v>2</v>
      </c>
      <c r="F131">
        <v>300</v>
      </c>
      <c r="G131" s="2">
        <f t="shared" ref="G131:G194" si="6">E131*F131</f>
        <v>600</v>
      </c>
      <c r="H131" t="str">
        <f t="shared" ref="H131:H194" si="7">IF(G131&gt;=10000,"High","Low")</f>
        <v>Low</v>
      </c>
      <c r="I131" t="s">
        <v>8</v>
      </c>
      <c r="L131" t="s">
        <v>15</v>
      </c>
      <c r="M131" s="3">
        <f t="shared" ref="M131:M194" si="8">SUMIF(B:B,L131,G:G)</f>
        <v>2145050</v>
      </c>
    </row>
    <row r="132" spans="1:13" ht="15.75" x14ac:dyDescent="0.3">
      <c r="A132" s="1">
        <v>45419</v>
      </c>
      <c r="B132" t="s">
        <v>12</v>
      </c>
      <c r="C132" t="s">
        <v>16</v>
      </c>
      <c r="D132" t="s">
        <v>20</v>
      </c>
      <c r="E132">
        <v>10</v>
      </c>
      <c r="F132">
        <v>150</v>
      </c>
      <c r="G132" s="2">
        <f t="shared" si="6"/>
        <v>1500</v>
      </c>
      <c r="H132" t="str">
        <f t="shared" si="7"/>
        <v>Low</v>
      </c>
      <c r="I132" t="s">
        <v>14</v>
      </c>
      <c r="L132" t="s">
        <v>12</v>
      </c>
      <c r="M132" s="3">
        <f t="shared" si="8"/>
        <v>2865050</v>
      </c>
    </row>
    <row r="133" spans="1:13" ht="15.75" x14ac:dyDescent="0.3">
      <c r="A133" s="1">
        <v>45435</v>
      </c>
      <c r="B133" t="s">
        <v>26</v>
      </c>
      <c r="C133" t="s">
        <v>22</v>
      </c>
      <c r="D133" t="s">
        <v>18</v>
      </c>
      <c r="E133">
        <v>10</v>
      </c>
      <c r="F133">
        <v>8500</v>
      </c>
      <c r="G133" s="2">
        <f t="shared" si="6"/>
        <v>85000</v>
      </c>
      <c r="H133" t="str">
        <f t="shared" si="7"/>
        <v>High</v>
      </c>
      <c r="I133" t="s">
        <v>14</v>
      </c>
      <c r="L133" t="s">
        <v>26</v>
      </c>
      <c r="M133" s="3">
        <f t="shared" si="8"/>
        <v>2430500</v>
      </c>
    </row>
    <row r="134" spans="1:13" ht="15.75" x14ac:dyDescent="0.3">
      <c r="A134" s="1">
        <v>45349</v>
      </c>
      <c r="B134" t="s">
        <v>19</v>
      </c>
      <c r="C134" t="s">
        <v>21</v>
      </c>
      <c r="D134" t="s">
        <v>17</v>
      </c>
      <c r="E134">
        <v>1</v>
      </c>
      <c r="F134">
        <v>3200</v>
      </c>
      <c r="G134" s="2">
        <f t="shared" si="6"/>
        <v>3200</v>
      </c>
      <c r="H134" t="str">
        <f t="shared" si="7"/>
        <v>Low</v>
      </c>
      <c r="I134" t="s">
        <v>8</v>
      </c>
      <c r="L134" t="s">
        <v>19</v>
      </c>
      <c r="M134" s="3">
        <f t="shared" si="8"/>
        <v>2179300</v>
      </c>
    </row>
    <row r="135" spans="1:13" ht="15.75" x14ac:dyDescent="0.3">
      <c r="A135" s="1">
        <v>45351</v>
      </c>
      <c r="B135" t="s">
        <v>24</v>
      </c>
      <c r="C135" t="s">
        <v>16</v>
      </c>
      <c r="D135" t="s">
        <v>10</v>
      </c>
      <c r="E135">
        <v>7</v>
      </c>
      <c r="F135">
        <v>4500</v>
      </c>
      <c r="G135" s="2">
        <f t="shared" si="6"/>
        <v>31500</v>
      </c>
      <c r="H135" t="str">
        <f t="shared" si="7"/>
        <v>High</v>
      </c>
      <c r="I135" t="s">
        <v>11</v>
      </c>
      <c r="L135" t="s">
        <v>24</v>
      </c>
      <c r="M135" s="3">
        <f t="shared" si="8"/>
        <v>2514250</v>
      </c>
    </row>
    <row r="136" spans="1:13" ht="15.75" x14ac:dyDescent="0.3">
      <c r="A136" s="1">
        <v>45305</v>
      </c>
      <c r="B136" t="s">
        <v>9</v>
      </c>
      <c r="C136" t="s">
        <v>13</v>
      </c>
      <c r="D136" t="s">
        <v>17</v>
      </c>
      <c r="E136">
        <v>4</v>
      </c>
      <c r="F136">
        <v>300</v>
      </c>
      <c r="G136" s="2">
        <f t="shared" si="6"/>
        <v>1200</v>
      </c>
      <c r="H136" t="str">
        <f t="shared" si="7"/>
        <v>Low</v>
      </c>
      <c r="I136" t="s">
        <v>11</v>
      </c>
      <c r="L136" t="s">
        <v>9</v>
      </c>
      <c r="M136" s="3">
        <f t="shared" si="8"/>
        <v>1849750</v>
      </c>
    </row>
    <row r="137" spans="1:13" ht="15.75" x14ac:dyDescent="0.3">
      <c r="A137" s="1">
        <v>45382</v>
      </c>
      <c r="B137" t="s">
        <v>26</v>
      </c>
      <c r="C137" t="s">
        <v>6</v>
      </c>
      <c r="D137" t="s">
        <v>7</v>
      </c>
      <c r="E137">
        <v>3</v>
      </c>
      <c r="F137">
        <v>4500</v>
      </c>
      <c r="G137" s="2">
        <f t="shared" si="6"/>
        <v>13500</v>
      </c>
      <c r="H137" t="str">
        <f t="shared" si="7"/>
        <v>High</v>
      </c>
      <c r="I137" t="s">
        <v>11</v>
      </c>
      <c r="L137" t="s">
        <v>26</v>
      </c>
      <c r="M137" s="3">
        <f t="shared" si="8"/>
        <v>2430500</v>
      </c>
    </row>
    <row r="138" spans="1:13" ht="15.75" x14ac:dyDescent="0.3">
      <c r="A138" s="1">
        <v>45413</v>
      </c>
      <c r="B138" t="s">
        <v>19</v>
      </c>
      <c r="C138" t="s">
        <v>22</v>
      </c>
      <c r="D138" t="s">
        <v>7</v>
      </c>
      <c r="E138">
        <v>1</v>
      </c>
      <c r="F138">
        <v>150</v>
      </c>
      <c r="G138" s="2">
        <f t="shared" si="6"/>
        <v>150</v>
      </c>
      <c r="H138" t="str">
        <f t="shared" si="7"/>
        <v>Low</v>
      </c>
      <c r="I138" t="s">
        <v>11</v>
      </c>
      <c r="L138" t="s">
        <v>19</v>
      </c>
      <c r="M138" s="3">
        <f t="shared" si="8"/>
        <v>2179300</v>
      </c>
    </row>
    <row r="139" spans="1:13" ht="15.75" x14ac:dyDescent="0.3">
      <c r="A139" s="1">
        <v>45293</v>
      </c>
      <c r="B139" t="s">
        <v>15</v>
      </c>
      <c r="C139" t="s">
        <v>21</v>
      </c>
      <c r="D139" t="s">
        <v>20</v>
      </c>
      <c r="E139">
        <v>4</v>
      </c>
      <c r="F139">
        <v>150</v>
      </c>
      <c r="G139" s="2">
        <f t="shared" si="6"/>
        <v>600</v>
      </c>
      <c r="H139" t="str">
        <f t="shared" si="7"/>
        <v>Low</v>
      </c>
      <c r="I139" t="s">
        <v>8</v>
      </c>
      <c r="L139" t="s">
        <v>15</v>
      </c>
      <c r="M139" s="3">
        <f t="shared" si="8"/>
        <v>2145050</v>
      </c>
    </row>
    <row r="140" spans="1:13" ht="15.75" x14ac:dyDescent="0.3">
      <c r="A140" s="1">
        <v>45317</v>
      </c>
      <c r="B140" t="s">
        <v>23</v>
      </c>
      <c r="C140" t="s">
        <v>13</v>
      </c>
      <c r="D140" t="s">
        <v>18</v>
      </c>
      <c r="E140">
        <v>7</v>
      </c>
      <c r="F140">
        <v>8500</v>
      </c>
      <c r="G140" s="2">
        <f t="shared" si="6"/>
        <v>59500</v>
      </c>
      <c r="H140" t="str">
        <f t="shared" si="7"/>
        <v>High</v>
      </c>
      <c r="I140" t="s">
        <v>14</v>
      </c>
      <c r="L140" t="s">
        <v>23</v>
      </c>
      <c r="M140" s="3">
        <f t="shared" si="8"/>
        <v>2202100</v>
      </c>
    </row>
    <row r="141" spans="1:13" ht="15.75" x14ac:dyDescent="0.3">
      <c r="A141" s="1">
        <v>45453</v>
      </c>
      <c r="B141" t="s">
        <v>26</v>
      </c>
      <c r="C141" t="s">
        <v>21</v>
      </c>
      <c r="D141" t="s">
        <v>20</v>
      </c>
      <c r="E141">
        <v>2</v>
      </c>
      <c r="F141">
        <v>3200</v>
      </c>
      <c r="G141" s="2">
        <f t="shared" si="6"/>
        <v>6400</v>
      </c>
      <c r="H141" t="str">
        <f t="shared" si="7"/>
        <v>Low</v>
      </c>
      <c r="I141" t="s">
        <v>14</v>
      </c>
      <c r="L141" t="s">
        <v>26</v>
      </c>
      <c r="M141" s="3">
        <f t="shared" si="8"/>
        <v>2430500</v>
      </c>
    </row>
    <row r="142" spans="1:13" ht="15.75" x14ac:dyDescent="0.3">
      <c r="A142" s="1">
        <v>45532</v>
      </c>
      <c r="B142" t="s">
        <v>25</v>
      </c>
      <c r="C142" t="s">
        <v>13</v>
      </c>
      <c r="D142" t="s">
        <v>20</v>
      </c>
      <c r="E142">
        <v>2</v>
      </c>
      <c r="F142">
        <v>8500</v>
      </c>
      <c r="G142" s="2">
        <f t="shared" si="6"/>
        <v>17000</v>
      </c>
      <c r="H142" t="str">
        <f t="shared" si="7"/>
        <v>High</v>
      </c>
      <c r="I142" t="s">
        <v>14</v>
      </c>
      <c r="L142" t="s">
        <v>25</v>
      </c>
      <c r="M142" s="3">
        <f t="shared" si="8"/>
        <v>2243250</v>
      </c>
    </row>
    <row r="143" spans="1:13" ht="15.75" x14ac:dyDescent="0.3">
      <c r="A143" s="1">
        <v>45349</v>
      </c>
      <c r="B143" t="s">
        <v>12</v>
      </c>
      <c r="C143" t="s">
        <v>16</v>
      </c>
      <c r="D143" t="s">
        <v>20</v>
      </c>
      <c r="E143">
        <v>8</v>
      </c>
      <c r="F143">
        <v>8500</v>
      </c>
      <c r="G143" s="2">
        <f t="shared" si="6"/>
        <v>68000</v>
      </c>
      <c r="H143" t="str">
        <f t="shared" si="7"/>
        <v>High</v>
      </c>
      <c r="I143" t="s">
        <v>11</v>
      </c>
      <c r="L143" t="s">
        <v>12</v>
      </c>
      <c r="M143" s="3">
        <f t="shared" si="8"/>
        <v>2865050</v>
      </c>
    </row>
    <row r="144" spans="1:13" ht="15.75" x14ac:dyDescent="0.3">
      <c r="A144" s="1">
        <v>45545</v>
      </c>
      <c r="B144" t="s">
        <v>15</v>
      </c>
      <c r="C144" t="s">
        <v>21</v>
      </c>
      <c r="D144" t="s">
        <v>7</v>
      </c>
      <c r="E144">
        <v>9</v>
      </c>
      <c r="F144">
        <v>8500</v>
      </c>
      <c r="G144" s="2">
        <f t="shared" si="6"/>
        <v>76500</v>
      </c>
      <c r="H144" t="str">
        <f t="shared" si="7"/>
        <v>High</v>
      </c>
      <c r="I144" t="s">
        <v>11</v>
      </c>
      <c r="L144" t="s">
        <v>15</v>
      </c>
      <c r="M144" s="3">
        <f t="shared" si="8"/>
        <v>2145050</v>
      </c>
    </row>
    <row r="145" spans="1:13" ht="15.75" x14ac:dyDescent="0.3">
      <c r="A145" s="1">
        <v>45314</v>
      </c>
      <c r="B145" t="s">
        <v>26</v>
      </c>
      <c r="C145" t="s">
        <v>16</v>
      </c>
      <c r="D145" t="s">
        <v>10</v>
      </c>
      <c r="E145">
        <v>7</v>
      </c>
      <c r="F145">
        <v>150</v>
      </c>
      <c r="G145" s="2">
        <f t="shared" si="6"/>
        <v>1050</v>
      </c>
      <c r="H145" t="str">
        <f t="shared" si="7"/>
        <v>Low</v>
      </c>
      <c r="I145" t="s">
        <v>8</v>
      </c>
      <c r="L145" t="s">
        <v>26</v>
      </c>
      <c r="M145" s="3">
        <f t="shared" si="8"/>
        <v>2430500</v>
      </c>
    </row>
    <row r="146" spans="1:13" ht="15.75" x14ac:dyDescent="0.3">
      <c r="A146" s="1">
        <v>45383</v>
      </c>
      <c r="B146" t="s">
        <v>19</v>
      </c>
      <c r="C146" t="s">
        <v>22</v>
      </c>
      <c r="D146" t="s">
        <v>18</v>
      </c>
      <c r="E146">
        <v>3</v>
      </c>
      <c r="F146">
        <v>300</v>
      </c>
      <c r="G146" s="2">
        <f t="shared" si="6"/>
        <v>900</v>
      </c>
      <c r="H146" t="str">
        <f t="shared" si="7"/>
        <v>Low</v>
      </c>
      <c r="I146" t="s">
        <v>14</v>
      </c>
      <c r="L146" t="s">
        <v>19</v>
      </c>
      <c r="M146" s="3">
        <f t="shared" si="8"/>
        <v>2179300</v>
      </c>
    </row>
    <row r="147" spans="1:13" ht="15.75" x14ac:dyDescent="0.3">
      <c r="A147" s="1">
        <v>45602</v>
      </c>
      <c r="B147" t="s">
        <v>23</v>
      </c>
      <c r="C147" t="s">
        <v>16</v>
      </c>
      <c r="D147" t="s">
        <v>20</v>
      </c>
      <c r="E147">
        <v>5</v>
      </c>
      <c r="F147">
        <v>3200</v>
      </c>
      <c r="G147" s="2">
        <f t="shared" si="6"/>
        <v>16000</v>
      </c>
      <c r="H147" t="str">
        <f t="shared" si="7"/>
        <v>High</v>
      </c>
      <c r="I147" t="s">
        <v>8</v>
      </c>
      <c r="L147" t="s">
        <v>23</v>
      </c>
      <c r="M147" s="3">
        <f t="shared" si="8"/>
        <v>2202100</v>
      </c>
    </row>
    <row r="148" spans="1:13" ht="15.75" x14ac:dyDescent="0.3">
      <c r="A148" s="1">
        <v>45653</v>
      </c>
      <c r="B148" t="s">
        <v>26</v>
      </c>
      <c r="C148" t="s">
        <v>22</v>
      </c>
      <c r="D148" t="s">
        <v>17</v>
      </c>
      <c r="E148">
        <v>7</v>
      </c>
      <c r="F148">
        <v>8500</v>
      </c>
      <c r="G148" s="2">
        <f t="shared" si="6"/>
        <v>59500</v>
      </c>
      <c r="H148" t="str">
        <f t="shared" si="7"/>
        <v>High</v>
      </c>
      <c r="I148" t="s">
        <v>14</v>
      </c>
      <c r="L148" t="s">
        <v>26</v>
      </c>
      <c r="M148" s="3">
        <f t="shared" si="8"/>
        <v>2430500</v>
      </c>
    </row>
    <row r="149" spans="1:13" ht="15.75" x14ac:dyDescent="0.3">
      <c r="A149" s="1">
        <v>45657</v>
      </c>
      <c r="B149" t="s">
        <v>12</v>
      </c>
      <c r="C149" t="s">
        <v>21</v>
      </c>
      <c r="D149" t="s">
        <v>7</v>
      </c>
      <c r="E149">
        <v>2</v>
      </c>
      <c r="F149">
        <v>4500</v>
      </c>
      <c r="G149" s="2">
        <f t="shared" si="6"/>
        <v>9000</v>
      </c>
      <c r="H149" t="str">
        <f t="shared" si="7"/>
        <v>Low</v>
      </c>
      <c r="I149" t="s">
        <v>8</v>
      </c>
      <c r="L149" t="s">
        <v>12</v>
      </c>
      <c r="M149" s="3">
        <f t="shared" si="8"/>
        <v>2865050</v>
      </c>
    </row>
    <row r="150" spans="1:13" ht="15.75" x14ac:dyDescent="0.3">
      <c r="A150" s="1">
        <v>45547</v>
      </c>
      <c r="B150" t="s">
        <v>9</v>
      </c>
      <c r="C150" t="s">
        <v>16</v>
      </c>
      <c r="D150" t="s">
        <v>18</v>
      </c>
      <c r="E150">
        <v>3</v>
      </c>
      <c r="F150">
        <v>150</v>
      </c>
      <c r="G150" s="2">
        <f t="shared" si="6"/>
        <v>450</v>
      </c>
      <c r="H150" t="str">
        <f t="shared" si="7"/>
        <v>Low</v>
      </c>
      <c r="I150" t="s">
        <v>14</v>
      </c>
      <c r="L150" t="s">
        <v>9</v>
      </c>
      <c r="M150" s="3">
        <f t="shared" si="8"/>
        <v>1849750</v>
      </c>
    </row>
    <row r="151" spans="1:13" ht="15.75" x14ac:dyDescent="0.3">
      <c r="A151" s="1">
        <v>45382</v>
      </c>
      <c r="B151" t="s">
        <v>24</v>
      </c>
      <c r="C151" t="s">
        <v>6</v>
      </c>
      <c r="D151" t="s">
        <v>18</v>
      </c>
      <c r="E151">
        <v>4</v>
      </c>
      <c r="F151">
        <v>3200</v>
      </c>
      <c r="G151" s="2">
        <f t="shared" si="6"/>
        <v>12800</v>
      </c>
      <c r="H151" t="str">
        <f t="shared" si="7"/>
        <v>High</v>
      </c>
      <c r="I151" t="s">
        <v>8</v>
      </c>
      <c r="L151" t="s">
        <v>24</v>
      </c>
      <c r="M151" s="3">
        <f t="shared" si="8"/>
        <v>2514250</v>
      </c>
    </row>
    <row r="152" spans="1:13" ht="15.75" x14ac:dyDescent="0.3">
      <c r="A152" s="1">
        <v>45500</v>
      </c>
      <c r="B152" t="s">
        <v>12</v>
      </c>
      <c r="C152" t="s">
        <v>16</v>
      </c>
      <c r="D152" t="s">
        <v>18</v>
      </c>
      <c r="E152">
        <v>7</v>
      </c>
      <c r="F152">
        <v>3200</v>
      </c>
      <c r="G152" s="2">
        <f t="shared" si="6"/>
        <v>22400</v>
      </c>
      <c r="H152" t="str">
        <f t="shared" si="7"/>
        <v>High</v>
      </c>
      <c r="I152" t="s">
        <v>14</v>
      </c>
      <c r="L152" t="s">
        <v>12</v>
      </c>
      <c r="M152" s="3">
        <f t="shared" si="8"/>
        <v>2865050</v>
      </c>
    </row>
    <row r="153" spans="1:13" ht="15.75" x14ac:dyDescent="0.3">
      <c r="A153" s="1">
        <v>45495</v>
      </c>
      <c r="B153" t="s">
        <v>9</v>
      </c>
      <c r="C153" t="s">
        <v>21</v>
      </c>
      <c r="D153" t="s">
        <v>7</v>
      </c>
      <c r="E153">
        <v>4</v>
      </c>
      <c r="F153">
        <v>3200</v>
      </c>
      <c r="G153" s="2">
        <f t="shared" si="6"/>
        <v>12800</v>
      </c>
      <c r="H153" t="str">
        <f t="shared" si="7"/>
        <v>High</v>
      </c>
      <c r="I153" t="s">
        <v>8</v>
      </c>
      <c r="L153" t="s">
        <v>9</v>
      </c>
      <c r="M153" s="3">
        <f t="shared" si="8"/>
        <v>1849750</v>
      </c>
    </row>
    <row r="154" spans="1:13" ht="15.75" x14ac:dyDescent="0.3">
      <c r="A154" s="1">
        <v>45651</v>
      </c>
      <c r="B154" t="s">
        <v>19</v>
      </c>
      <c r="C154" t="s">
        <v>21</v>
      </c>
      <c r="D154" t="s">
        <v>20</v>
      </c>
      <c r="E154">
        <v>3</v>
      </c>
      <c r="F154">
        <v>150</v>
      </c>
      <c r="G154" s="2">
        <f t="shared" si="6"/>
        <v>450</v>
      </c>
      <c r="H154" t="str">
        <f t="shared" si="7"/>
        <v>Low</v>
      </c>
      <c r="I154" t="s">
        <v>14</v>
      </c>
      <c r="L154" t="s">
        <v>19</v>
      </c>
      <c r="M154" s="3">
        <f t="shared" si="8"/>
        <v>2179300</v>
      </c>
    </row>
    <row r="155" spans="1:13" ht="15.75" x14ac:dyDescent="0.3">
      <c r="A155" s="1">
        <v>45652</v>
      </c>
      <c r="B155" t="s">
        <v>26</v>
      </c>
      <c r="C155" t="s">
        <v>22</v>
      </c>
      <c r="D155" t="s">
        <v>10</v>
      </c>
      <c r="E155">
        <v>8</v>
      </c>
      <c r="F155">
        <v>8500</v>
      </c>
      <c r="G155" s="2">
        <f t="shared" si="6"/>
        <v>68000</v>
      </c>
      <c r="H155" t="str">
        <f t="shared" si="7"/>
        <v>High</v>
      </c>
      <c r="I155" t="s">
        <v>14</v>
      </c>
      <c r="L155" t="s">
        <v>26</v>
      </c>
      <c r="M155" s="3">
        <f t="shared" si="8"/>
        <v>2430500</v>
      </c>
    </row>
    <row r="156" spans="1:13" ht="15.75" x14ac:dyDescent="0.3">
      <c r="A156" s="1">
        <v>45611</v>
      </c>
      <c r="B156" t="s">
        <v>15</v>
      </c>
      <c r="C156" t="s">
        <v>22</v>
      </c>
      <c r="D156" t="s">
        <v>10</v>
      </c>
      <c r="E156">
        <v>4</v>
      </c>
      <c r="F156">
        <v>300</v>
      </c>
      <c r="G156" s="2">
        <f t="shared" si="6"/>
        <v>1200</v>
      </c>
      <c r="H156" t="str">
        <f t="shared" si="7"/>
        <v>Low</v>
      </c>
      <c r="I156" t="s">
        <v>14</v>
      </c>
      <c r="L156" t="s">
        <v>15</v>
      </c>
      <c r="M156" s="3">
        <f t="shared" si="8"/>
        <v>2145050</v>
      </c>
    </row>
    <row r="157" spans="1:13" ht="15.75" x14ac:dyDescent="0.3">
      <c r="A157" s="1">
        <v>45393</v>
      </c>
      <c r="B157" t="s">
        <v>26</v>
      </c>
      <c r="C157" t="s">
        <v>21</v>
      </c>
      <c r="D157" t="s">
        <v>20</v>
      </c>
      <c r="E157">
        <v>7</v>
      </c>
      <c r="F157">
        <v>300</v>
      </c>
      <c r="G157" s="2">
        <f t="shared" si="6"/>
        <v>2100</v>
      </c>
      <c r="H157" t="str">
        <f t="shared" si="7"/>
        <v>Low</v>
      </c>
      <c r="I157" t="s">
        <v>14</v>
      </c>
      <c r="L157" t="s">
        <v>26</v>
      </c>
      <c r="M157" s="3">
        <f t="shared" si="8"/>
        <v>2430500</v>
      </c>
    </row>
    <row r="158" spans="1:13" ht="15.75" x14ac:dyDescent="0.3">
      <c r="A158" s="1">
        <v>45331</v>
      </c>
      <c r="B158" t="s">
        <v>9</v>
      </c>
      <c r="C158" t="s">
        <v>6</v>
      </c>
      <c r="D158" t="s">
        <v>10</v>
      </c>
      <c r="E158">
        <v>1</v>
      </c>
      <c r="F158">
        <v>8500</v>
      </c>
      <c r="G158" s="2">
        <f t="shared" si="6"/>
        <v>8500</v>
      </c>
      <c r="H158" t="str">
        <f t="shared" si="7"/>
        <v>Low</v>
      </c>
      <c r="I158" t="s">
        <v>11</v>
      </c>
      <c r="L158" t="s">
        <v>9</v>
      </c>
      <c r="M158" s="3">
        <f t="shared" si="8"/>
        <v>1849750</v>
      </c>
    </row>
    <row r="159" spans="1:13" ht="15.75" x14ac:dyDescent="0.3">
      <c r="A159" s="1">
        <v>45647</v>
      </c>
      <c r="B159" t="s">
        <v>24</v>
      </c>
      <c r="C159" t="s">
        <v>13</v>
      </c>
      <c r="D159" t="s">
        <v>7</v>
      </c>
      <c r="E159">
        <v>6</v>
      </c>
      <c r="F159">
        <v>300</v>
      </c>
      <c r="G159" s="2">
        <f t="shared" si="6"/>
        <v>1800</v>
      </c>
      <c r="H159" t="str">
        <f t="shared" si="7"/>
        <v>Low</v>
      </c>
      <c r="I159" t="s">
        <v>8</v>
      </c>
      <c r="L159" t="s">
        <v>24</v>
      </c>
      <c r="M159" s="3">
        <f t="shared" si="8"/>
        <v>2514250</v>
      </c>
    </row>
    <row r="160" spans="1:13" ht="15.75" x14ac:dyDescent="0.3">
      <c r="A160" s="1">
        <v>45469</v>
      </c>
      <c r="B160" t="s">
        <v>23</v>
      </c>
      <c r="C160" t="s">
        <v>13</v>
      </c>
      <c r="D160" t="s">
        <v>20</v>
      </c>
      <c r="E160">
        <v>7</v>
      </c>
      <c r="F160">
        <v>150</v>
      </c>
      <c r="G160" s="2">
        <f t="shared" si="6"/>
        <v>1050</v>
      </c>
      <c r="H160" t="str">
        <f t="shared" si="7"/>
        <v>Low</v>
      </c>
      <c r="I160" t="s">
        <v>8</v>
      </c>
      <c r="L160" t="s">
        <v>23</v>
      </c>
      <c r="M160" s="3">
        <f t="shared" si="8"/>
        <v>2202100</v>
      </c>
    </row>
    <row r="161" spans="1:13" ht="15.75" x14ac:dyDescent="0.3">
      <c r="A161" s="1">
        <v>45500</v>
      </c>
      <c r="B161" t="s">
        <v>9</v>
      </c>
      <c r="C161" t="s">
        <v>21</v>
      </c>
      <c r="D161" t="s">
        <v>17</v>
      </c>
      <c r="E161">
        <v>9</v>
      </c>
      <c r="F161">
        <v>8500</v>
      </c>
      <c r="G161" s="2">
        <f t="shared" si="6"/>
        <v>76500</v>
      </c>
      <c r="H161" t="str">
        <f t="shared" si="7"/>
        <v>High</v>
      </c>
      <c r="I161" t="s">
        <v>8</v>
      </c>
      <c r="L161" t="s">
        <v>9</v>
      </c>
      <c r="M161" s="3">
        <f t="shared" si="8"/>
        <v>1849750</v>
      </c>
    </row>
    <row r="162" spans="1:13" ht="15.75" x14ac:dyDescent="0.3">
      <c r="A162" s="1">
        <v>45445</v>
      </c>
      <c r="B162" t="s">
        <v>23</v>
      </c>
      <c r="C162" t="s">
        <v>13</v>
      </c>
      <c r="D162" t="s">
        <v>7</v>
      </c>
      <c r="E162">
        <v>6</v>
      </c>
      <c r="F162">
        <v>4500</v>
      </c>
      <c r="G162" s="2">
        <f t="shared" si="6"/>
        <v>27000</v>
      </c>
      <c r="H162" t="str">
        <f t="shared" si="7"/>
        <v>High</v>
      </c>
      <c r="I162" t="s">
        <v>14</v>
      </c>
      <c r="L162" t="s">
        <v>23</v>
      </c>
      <c r="M162" s="3">
        <f t="shared" si="8"/>
        <v>2202100</v>
      </c>
    </row>
    <row r="163" spans="1:13" ht="15.75" x14ac:dyDescent="0.3">
      <c r="A163" s="1">
        <v>45499</v>
      </c>
      <c r="B163" t="s">
        <v>23</v>
      </c>
      <c r="C163" t="s">
        <v>13</v>
      </c>
      <c r="D163" t="s">
        <v>10</v>
      </c>
      <c r="E163">
        <v>3</v>
      </c>
      <c r="F163">
        <v>150</v>
      </c>
      <c r="G163" s="2">
        <f t="shared" si="6"/>
        <v>450</v>
      </c>
      <c r="H163" t="str">
        <f t="shared" si="7"/>
        <v>Low</v>
      </c>
      <c r="I163" t="s">
        <v>8</v>
      </c>
      <c r="L163" t="s">
        <v>23</v>
      </c>
      <c r="M163" s="3">
        <f t="shared" si="8"/>
        <v>2202100</v>
      </c>
    </row>
    <row r="164" spans="1:13" ht="15.75" x14ac:dyDescent="0.3">
      <c r="A164" s="1">
        <v>45602</v>
      </c>
      <c r="B164" t="s">
        <v>12</v>
      </c>
      <c r="C164" t="s">
        <v>21</v>
      </c>
      <c r="D164" t="s">
        <v>10</v>
      </c>
      <c r="E164">
        <v>2</v>
      </c>
      <c r="F164">
        <v>300</v>
      </c>
      <c r="G164" s="2">
        <f t="shared" si="6"/>
        <v>600</v>
      </c>
      <c r="H164" t="str">
        <f t="shared" si="7"/>
        <v>Low</v>
      </c>
      <c r="I164" t="s">
        <v>14</v>
      </c>
      <c r="L164" t="s">
        <v>12</v>
      </c>
      <c r="M164" s="3">
        <f t="shared" si="8"/>
        <v>2865050</v>
      </c>
    </row>
    <row r="165" spans="1:13" ht="15.75" x14ac:dyDescent="0.3">
      <c r="A165" s="1">
        <v>45472</v>
      </c>
      <c r="B165" t="s">
        <v>24</v>
      </c>
      <c r="C165" t="s">
        <v>16</v>
      </c>
      <c r="D165" t="s">
        <v>20</v>
      </c>
      <c r="E165">
        <v>1</v>
      </c>
      <c r="F165">
        <v>300</v>
      </c>
      <c r="G165" s="2">
        <f t="shared" si="6"/>
        <v>300</v>
      </c>
      <c r="H165" t="str">
        <f t="shared" si="7"/>
        <v>Low</v>
      </c>
      <c r="I165" t="s">
        <v>11</v>
      </c>
      <c r="L165" t="s">
        <v>24</v>
      </c>
      <c r="M165" s="3">
        <f t="shared" si="8"/>
        <v>2514250</v>
      </c>
    </row>
    <row r="166" spans="1:13" ht="15.75" x14ac:dyDescent="0.3">
      <c r="A166" s="1">
        <v>45571</v>
      </c>
      <c r="B166" t="s">
        <v>15</v>
      </c>
      <c r="C166" t="s">
        <v>13</v>
      </c>
      <c r="D166" t="s">
        <v>10</v>
      </c>
      <c r="E166">
        <v>9</v>
      </c>
      <c r="F166">
        <v>8500</v>
      </c>
      <c r="G166" s="2">
        <f t="shared" si="6"/>
        <v>76500</v>
      </c>
      <c r="H166" t="str">
        <f t="shared" si="7"/>
        <v>High</v>
      </c>
      <c r="I166" t="s">
        <v>8</v>
      </c>
      <c r="L166" t="s">
        <v>15</v>
      </c>
      <c r="M166" s="3">
        <f t="shared" si="8"/>
        <v>2145050</v>
      </c>
    </row>
    <row r="167" spans="1:13" ht="15.75" x14ac:dyDescent="0.3">
      <c r="A167" s="1">
        <v>45479</v>
      </c>
      <c r="B167" t="s">
        <v>26</v>
      </c>
      <c r="C167" t="s">
        <v>21</v>
      </c>
      <c r="D167" t="s">
        <v>10</v>
      </c>
      <c r="E167">
        <v>4</v>
      </c>
      <c r="F167">
        <v>300</v>
      </c>
      <c r="G167" s="2">
        <f t="shared" si="6"/>
        <v>1200</v>
      </c>
      <c r="H167" t="str">
        <f t="shared" si="7"/>
        <v>Low</v>
      </c>
      <c r="I167" t="s">
        <v>11</v>
      </c>
      <c r="L167" t="s">
        <v>26</v>
      </c>
      <c r="M167" s="3">
        <f t="shared" si="8"/>
        <v>2430500</v>
      </c>
    </row>
    <row r="168" spans="1:13" ht="15.75" x14ac:dyDescent="0.3">
      <c r="A168" s="1">
        <v>45313</v>
      </c>
      <c r="B168" t="s">
        <v>15</v>
      </c>
      <c r="C168" t="s">
        <v>21</v>
      </c>
      <c r="D168" t="s">
        <v>20</v>
      </c>
      <c r="E168">
        <v>6</v>
      </c>
      <c r="F168">
        <v>300</v>
      </c>
      <c r="G168" s="2">
        <f t="shared" si="6"/>
        <v>1800</v>
      </c>
      <c r="H168" t="str">
        <f t="shared" si="7"/>
        <v>Low</v>
      </c>
      <c r="I168" t="s">
        <v>14</v>
      </c>
      <c r="L168" t="s">
        <v>15</v>
      </c>
      <c r="M168" s="3">
        <f t="shared" si="8"/>
        <v>2145050</v>
      </c>
    </row>
    <row r="169" spans="1:13" ht="15.75" x14ac:dyDescent="0.3">
      <c r="A169" s="1">
        <v>45533</v>
      </c>
      <c r="B169" t="s">
        <v>9</v>
      </c>
      <c r="C169" t="s">
        <v>6</v>
      </c>
      <c r="D169" t="s">
        <v>17</v>
      </c>
      <c r="E169">
        <v>9</v>
      </c>
      <c r="F169">
        <v>8500</v>
      </c>
      <c r="G169" s="2">
        <f t="shared" si="6"/>
        <v>76500</v>
      </c>
      <c r="H169" t="str">
        <f t="shared" si="7"/>
        <v>High</v>
      </c>
      <c r="I169" t="s">
        <v>8</v>
      </c>
      <c r="L169" t="s">
        <v>9</v>
      </c>
      <c r="M169" s="3">
        <f t="shared" si="8"/>
        <v>1849750</v>
      </c>
    </row>
    <row r="170" spans="1:13" ht="15.75" x14ac:dyDescent="0.3">
      <c r="A170" s="1">
        <v>45373</v>
      </c>
      <c r="B170" t="s">
        <v>15</v>
      </c>
      <c r="C170" t="s">
        <v>16</v>
      </c>
      <c r="D170" t="s">
        <v>18</v>
      </c>
      <c r="E170">
        <v>3</v>
      </c>
      <c r="F170">
        <v>4500</v>
      </c>
      <c r="G170" s="2">
        <f t="shared" si="6"/>
        <v>13500</v>
      </c>
      <c r="H170" t="str">
        <f t="shared" si="7"/>
        <v>High</v>
      </c>
      <c r="I170" t="s">
        <v>11</v>
      </c>
      <c r="L170" t="s">
        <v>15</v>
      </c>
      <c r="M170" s="3">
        <f t="shared" si="8"/>
        <v>2145050</v>
      </c>
    </row>
    <row r="171" spans="1:13" ht="15.75" x14ac:dyDescent="0.3">
      <c r="A171" s="1">
        <v>45546</v>
      </c>
      <c r="B171" t="s">
        <v>12</v>
      </c>
      <c r="C171" t="s">
        <v>16</v>
      </c>
      <c r="D171" t="s">
        <v>20</v>
      </c>
      <c r="E171">
        <v>5</v>
      </c>
      <c r="F171">
        <v>3200</v>
      </c>
      <c r="G171" s="2">
        <f t="shared" si="6"/>
        <v>16000</v>
      </c>
      <c r="H171" t="str">
        <f t="shared" si="7"/>
        <v>High</v>
      </c>
      <c r="I171" t="s">
        <v>8</v>
      </c>
      <c r="L171" t="s">
        <v>12</v>
      </c>
      <c r="M171" s="3">
        <f t="shared" si="8"/>
        <v>2865050</v>
      </c>
    </row>
    <row r="172" spans="1:13" ht="15.75" x14ac:dyDescent="0.3">
      <c r="A172" s="1">
        <v>45615</v>
      </c>
      <c r="B172" t="s">
        <v>23</v>
      </c>
      <c r="C172" t="s">
        <v>6</v>
      </c>
      <c r="D172" t="s">
        <v>18</v>
      </c>
      <c r="E172">
        <v>8</v>
      </c>
      <c r="F172">
        <v>8500</v>
      </c>
      <c r="G172" s="2">
        <f t="shared" si="6"/>
        <v>68000</v>
      </c>
      <c r="H172" t="str">
        <f t="shared" si="7"/>
        <v>High</v>
      </c>
      <c r="I172" t="s">
        <v>8</v>
      </c>
      <c r="L172" t="s">
        <v>23</v>
      </c>
      <c r="M172" s="3">
        <f t="shared" si="8"/>
        <v>2202100</v>
      </c>
    </row>
    <row r="173" spans="1:13" ht="15.75" x14ac:dyDescent="0.3">
      <c r="A173" s="1">
        <v>45336</v>
      </c>
      <c r="B173" t="s">
        <v>24</v>
      </c>
      <c r="C173" t="s">
        <v>6</v>
      </c>
      <c r="D173" t="s">
        <v>20</v>
      </c>
      <c r="E173">
        <v>6</v>
      </c>
      <c r="F173">
        <v>3200</v>
      </c>
      <c r="G173" s="2">
        <f t="shared" si="6"/>
        <v>19200</v>
      </c>
      <c r="H173" t="str">
        <f t="shared" si="7"/>
        <v>High</v>
      </c>
      <c r="I173" t="s">
        <v>11</v>
      </c>
      <c r="L173" t="s">
        <v>24</v>
      </c>
      <c r="M173" s="3">
        <f t="shared" si="8"/>
        <v>2514250</v>
      </c>
    </row>
    <row r="174" spans="1:13" ht="15.75" x14ac:dyDescent="0.3">
      <c r="A174" s="1">
        <v>45417</v>
      </c>
      <c r="B174" t="s">
        <v>26</v>
      </c>
      <c r="C174" t="s">
        <v>22</v>
      </c>
      <c r="D174" t="s">
        <v>10</v>
      </c>
      <c r="E174">
        <v>7</v>
      </c>
      <c r="F174">
        <v>8500</v>
      </c>
      <c r="G174" s="2">
        <f t="shared" si="6"/>
        <v>59500</v>
      </c>
      <c r="H174" t="str">
        <f t="shared" si="7"/>
        <v>High</v>
      </c>
      <c r="I174" t="s">
        <v>14</v>
      </c>
      <c r="L174" t="s">
        <v>26</v>
      </c>
      <c r="M174" s="3">
        <f t="shared" si="8"/>
        <v>2430500</v>
      </c>
    </row>
    <row r="175" spans="1:13" ht="15.75" x14ac:dyDescent="0.3">
      <c r="A175" s="1">
        <v>45627</v>
      </c>
      <c r="B175" t="s">
        <v>25</v>
      </c>
      <c r="C175" t="s">
        <v>21</v>
      </c>
      <c r="D175" t="s">
        <v>18</v>
      </c>
      <c r="E175">
        <v>3</v>
      </c>
      <c r="F175">
        <v>300</v>
      </c>
      <c r="G175" s="2">
        <f t="shared" si="6"/>
        <v>900</v>
      </c>
      <c r="H175" t="str">
        <f t="shared" si="7"/>
        <v>Low</v>
      </c>
      <c r="I175" t="s">
        <v>14</v>
      </c>
      <c r="L175" t="s">
        <v>25</v>
      </c>
      <c r="M175" s="3">
        <f t="shared" si="8"/>
        <v>2243250</v>
      </c>
    </row>
    <row r="176" spans="1:13" ht="15.75" x14ac:dyDescent="0.3">
      <c r="A176" s="1">
        <v>45569</v>
      </c>
      <c r="B176" t="s">
        <v>23</v>
      </c>
      <c r="C176" t="s">
        <v>6</v>
      </c>
      <c r="D176" t="s">
        <v>20</v>
      </c>
      <c r="E176">
        <v>9</v>
      </c>
      <c r="F176">
        <v>3200</v>
      </c>
      <c r="G176" s="2">
        <f t="shared" si="6"/>
        <v>28800</v>
      </c>
      <c r="H176" t="str">
        <f t="shared" si="7"/>
        <v>High</v>
      </c>
      <c r="I176" t="s">
        <v>8</v>
      </c>
      <c r="L176" t="s">
        <v>23</v>
      </c>
      <c r="M176" s="3">
        <f t="shared" si="8"/>
        <v>2202100</v>
      </c>
    </row>
    <row r="177" spans="1:13" ht="15.75" x14ac:dyDescent="0.3">
      <c r="A177" s="1">
        <v>45303</v>
      </c>
      <c r="B177" t="s">
        <v>9</v>
      </c>
      <c r="C177" t="s">
        <v>22</v>
      </c>
      <c r="D177" t="s">
        <v>18</v>
      </c>
      <c r="E177">
        <v>3</v>
      </c>
      <c r="F177">
        <v>8500</v>
      </c>
      <c r="G177" s="2">
        <f t="shared" si="6"/>
        <v>25500</v>
      </c>
      <c r="H177" t="str">
        <f t="shared" si="7"/>
        <v>High</v>
      </c>
      <c r="I177" t="s">
        <v>11</v>
      </c>
      <c r="L177" t="s">
        <v>9</v>
      </c>
      <c r="M177" s="3">
        <f t="shared" si="8"/>
        <v>1849750</v>
      </c>
    </row>
    <row r="178" spans="1:13" ht="15.75" x14ac:dyDescent="0.3">
      <c r="A178" s="1">
        <v>45493</v>
      </c>
      <c r="B178" t="s">
        <v>9</v>
      </c>
      <c r="C178" t="s">
        <v>13</v>
      </c>
      <c r="D178" t="s">
        <v>17</v>
      </c>
      <c r="E178">
        <v>8</v>
      </c>
      <c r="F178">
        <v>3200</v>
      </c>
      <c r="G178" s="2">
        <f t="shared" si="6"/>
        <v>25600</v>
      </c>
      <c r="H178" t="str">
        <f t="shared" si="7"/>
        <v>High</v>
      </c>
      <c r="I178" t="s">
        <v>8</v>
      </c>
      <c r="L178" t="s">
        <v>9</v>
      </c>
      <c r="M178" s="3">
        <f t="shared" si="8"/>
        <v>1849750</v>
      </c>
    </row>
    <row r="179" spans="1:13" ht="15.75" x14ac:dyDescent="0.3">
      <c r="A179" s="1">
        <v>45657</v>
      </c>
      <c r="B179" t="s">
        <v>23</v>
      </c>
      <c r="C179" t="s">
        <v>6</v>
      </c>
      <c r="D179" t="s">
        <v>18</v>
      </c>
      <c r="E179">
        <v>9</v>
      </c>
      <c r="F179">
        <v>4500</v>
      </c>
      <c r="G179" s="2">
        <f t="shared" si="6"/>
        <v>40500</v>
      </c>
      <c r="H179" t="str">
        <f t="shared" si="7"/>
        <v>High</v>
      </c>
      <c r="I179" t="s">
        <v>14</v>
      </c>
      <c r="L179" t="s">
        <v>23</v>
      </c>
      <c r="M179" s="3">
        <f t="shared" si="8"/>
        <v>2202100</v>
      </c>
    </row>
    <row r="180" spans="1:13" ht="15.75" x14ac:dyDescent="0.3">
      <c r="A180" s="1">
        <v>45657</v>
      </c>
      <c r="B180" t="s">
        <v>23</v>
      </c>
      <c r="C180" t="s">
        <v>6</v>
      </c>
      <c r="D180" t="s">
        <v>18</v>
      </c>
      <c r="E180">
        <v>8</v>
      </c>
      <c r="F180">
        <v>3200</v>
      </c>
      <c r="G180" s="2">
        <f t="shared" si="6"/>
        <v>25600</v>
      </c>
      <c r="H180" t="str">
        <f t="shared" si="7"/>
        <v>High</v>
      </c>
      <c r="I180" t="s">
        <v>8</v>
      </c>
      <c r="L180" t="s">
        <v>23</v>
      </c>
      <c r="M180" s="3">
        <f t="shared" si="8"/>
        <v>2202100</v>
      </c>
    </row>
    <row r="181" spans="1:13" ht="15.75" x14ac:dyDescent="0.3">
      <c r="A181" s="1">
        <v>45443</v>
      </c>
      <c r="B181" t="s">
        <v>19</v>
      </c>
      <c r="C181" t="s">
        <v>13</v>
      </c>
      <c r="D181" t="s">
        <v>17</v>
      </c>
      <c r="E181">
        <v>5</v>
      </c>
      <c r="F181">
        <v>3200</v>
      </c>
      <c r="G181" s="2">
        <f t="shared" si="6"/>
        <v>16000</v>
      </c>
      <c r="H181" t="str">
        <f t="shared" si="7"/>
        <v>High</v>
      </c>
      <c r="I181" t="s">
        <v>11</v>
      </c>
      <c r="L181" t="s">
        <v>19</v>
      </c>
      <c r="M181" s="3">
        <f t="shared" si="8"/>
        <v>2179300</v>
      </c>
    </row>
    <row r="182" spans="1:13" ht="15.75" x14ac:dyDescent="0.3">
      <c r="A182" s="1">
        <v>45425</v>
      </c>
      <c r="B182" t="s">
        <v>25</v>
      </c>
      <c r="C182" t="s">
        <v>13</v>
      </c>
      <c r="D182" t="s">
        <v>18</v>
      </c>
      <c r="E182">
        <v>9</v>
      </c>
      <c r="F182">
        <v>4500</v>
      </c>
      <c r="G182" s="2">
        <f t="shared" si="6"/>
        <v>40500</v>
      </c>
      <c r="H182" t="str">
        <f t="shared" si="7"/>
        <v>High</v>
      </c>
      <c r="I182" t="s">
        <v>11</v>
      </c>
      <c r="L182" t="s">
        <v>25</v>
      </c>
      <c r="M182" s="3">
        <f t="shared" si="8"/>
        <v>2243250</v>
      </c>
    </row>
    <row r="183" spans="1:13" ht="15.75" x14ac:dyDescent="0.3">
      <c r="A183" s="1">
        <v>45587</v>
      </c>
      <c r="B183" t="s">
        <v>24</v>
      </c>
      <c r="C183" t="s">
        <v>13</v>
      </c>
      <c r="D183" t="s">
        <v>7</v>
      </c>
      <c r="E183">
        <v>2</v>
      </c>
      <c r="F183">
        <v>3200</v>
      </c>
      <c r="G183" s="2">
        <f t="shared" si="6"/>
        <v>6400</v>
      </c>
      <c r="H183" t="str">
        <f t="shared" si="7"/>
        <v>Low</v>
      </c>
      <c r="I183" t="s">
        <v>14</v>
      </c>
      <c r="L183" t="s">
        <v>24</v>
      </c>
      <c r="M183" s="3">
        <f t="shared" si="8"/>
        <v>2514250</v>
      </c>
    </row>
    <row r="184" spans="1:13" ht="15.75" x14ac:dyDescent="0.3">
      <c r="A184" s="1">
        <v>45624</v>
      </c>
      <c r="B184" t="s">
        <v>9</v>
      </c>
      <c r="C184" t="s">
        <v>22</v>
      </c>
      <c r="D184" t="s">
        <v>18</v>
      </c>
      <c r="E184">
        <v>7</v>
      </c>
      <c r="F184">
        <v>150</v>
      </c>
      <c r="G184" s="2">
        <f t="shared" si="6"/>
        <v>1050</v>
      </c>
      <c r="H184" t="str">
        <f t="shared" si="7"/>
        <v>Low</v>
      </c>
      <c r="I184" t="s">
        <v>8</v>
      </c>
      <c r="L184" t="s">
        <v>9</v>
      </c>
      <c r="M184" s="3">
        <f t="shared" si="8"/>
        <v>1849750</v>
      </c>
    </row>
    <row r="185" spans="1:13" ht="15.75" x14ac:dyDescent="0.3">
      <c r="A185" s="1">
        <v>45614</v>
      </c>
      <c r="B185" t="s">
        <v>12</v>
      </c>
      <c r="C185" t="s">
        <v>16</v>
      </c>
      <c r="D185" t="s">
        <v>7</v>
      </c>
      <c r="E185">
        <v>9</v>
      </c>
      <c r="F185">
        <v>3200</v>
      </c>
      <c r="G185" s="2">
        <f t="shared" si="6"/>
        <v>28800</v>
      </c>
      <c r="H185" t="str">
        <f t="shared" si="7"/>
        <v>High</v>
      </c>
      <c r="I185" t="s">
        <v>11</v>
      </c>
      <c r="L185" t="s">
        <v>12</v>
      </c>
      <c r="M185" s="3">
        <f t="shared" si="8"/>
        <v>2865050</v>
      </c>
    </row>
    <row r="186" spans="1:13" ht="15.75" x14ac:dyDescent="0.3">
      <c r="A186" s="1">
        <v>45616</v>
      </c>
      <c r="B186" t="s">
        <v>26</v>
      </c>
      <c r="C186" t="s">
        <v>13</v>
      </c>
      <c r="D186" t="s">
        <v>7</v>
      </c>
      <c r="E186">
        <v>7</v>
      </c>
      <c r="F186">
        <v>150</v>
      </c>
      <c r="G186" s="2">
        <f t="shared" si="6"/>
        <v>1050</v>
      </c>
      <c r="H186" t="str">
        <f t="shared" si="7"/>
        <v>Low</v>
      </c>
      <c r="I186" t="s">
        <v>11</v>
      </c>
      <c r="L186" t="s">
        <v>26</v>
      </c>
      <c r="M186" s="3">
        <f t="shared" si="8"/>
        <v>2430500</v>
      </c>
    </row>
    <row r="187" spans="1:13" ht="15.75" x14ac:dyDescent="0.3">
      <c r="A187" s="1">
        <v>45295</v>
      </c>
      <c r="B187" t="s">
        <v>15</v>
      </c>
      <c r="C187" t="s">
        <v>16</v>
      </c>
      <c r="D187" t="s">
        <v>17</v>
      </c>
      <c r="E187">
        <v>7</v>
      </c>
      <c r="F187">
        <v>150</v>
      </c>
      <c r="G187" s="2">
        <f t="shared" si="6"/>
        <v>1050</v>
      </c>
      <c r="H187" t="str">
        <f t="shared" si="7"/>
        <v>Low</v>
      </c>
      <c r="I187" t="s">
        <v>11</v>
      </c>
      <c r="L187" t="s">
        <v>15</v>
      </c>
      <c r="M187" s="3">
        <f t="shared" si="8"/>
        <v>2145050</v>
      </c>
    </row>
    <row r="188" spans="1:13" ht="15.75" x14ac:dyDescent="0.3">
      <c r="A188" s="1">
        <v>45408</v>
      </c>
      <c r="B188" t="s">
        <v>12</v>
      </c>
      <c r="C188" t="s">
        <v>16</v>
      </c>
      <c r="D188" t="s">
        <v>7</v>
      </c>
      <c r="E188">
        <v>10</v>
      </c>
      <c r="F188">
        <v>4500</v>
      </c>
      <c r="G188" s="2">
        <f t="shared" si="6"/>
        <v>45000</v>
      </c>
      <c r="H188" t="str">
        <f t="shared" si="7"/>
        <v>High</v>
      </c>
      <c r="I188" t="s">
        <v>11</v>
      </c>
      <c r="L188" t="s">
        <v>12</v>
      </c>
      <c r="M188" s="3">
        <f t="shared" si="8"/>
        <v>2865050</v>
      </c>
    </row>
    <row r="189" spans="1:13" ht="15.75" x14ac:dyDescent="0.3">
      <c r="A189" s="1">
        <v>45621</v>
      </c>
      <c r="B189" t="s">
        <v>12</v>
      </c>
      <c r="C189" t="s">
        <v>13</v>
      </c>
      <c r="D189" t="s">
        <v>18</v>
      </c>
      <c r="E189">
        <v>6</v>
      </c>
      <c r="F189">
        <v>150</v>
      </c>
      <c r="G189" s="2">
        <f t="shared" si="6"/>
        <v>900</v>
      </c>
      <c r="H189" t="str">
        <f t="shared" si="7"/>
        <v>Low</v>
      </c>
      <c r="I189" t="s">
        <v>14</v>
      </c>
      <c r="L189" t="s">
        <v>12</v>
      </c>
      <c r="M189" s="3">
        <f t="shared" si="8"/>
        <v>2865050</v>
      </c>
    </row>
    <row r="190" spans="1:13" ht="15.75" x14ac:dyDescent="0.3">
      <c r="A190" s="1">
        <v>45301</v>
      </c>
      <c r="B190" t="s">
        <v>19</v>
      </c>
      <c r="C190" t="s">
        <v>21</v>
      </c>
      <c r="D190" t="s">
        <v>7</v>
      </c>
      <c r="E190">
        <v>4</v>
      </c>
      <c r="F190">
        <v>3200</v>
      </c>
      <c r="G190" s="2">
        <f t="shared" si="6"/>
        <v>12800</v>
      </c>
      <c r="H190" t="str">
        <f t="shared" si="7"/>
        <v>High</v>
      </c>
      <c r="I190" t="s">
        <v>11</v>
      </c>
      <c r="L190" t="s">
        <v>19</v>
      </c>
      <c r="M190" s="3">
        <f t="shared" si="8"/>
        <v>2179300</v>
      </c>
    </row>
    <row r="191" spans="1:13" ht="15.75" x14ac:dyDescent="0.3">
      <c r="A191" s="1">
        <v>45479</v>
      </c>
      <c r="B191" t="s">
        <v>15</v>
      </c>
      <c r="C191" t="s">
        <v>13</v>
      </c>
      <c r="D191" t="s">
        <v>18</v>
      </c>
      <c r="E191">
        <v>1</v>
      </c>
      <c r="F191">
        <v>150</v>
      </c>
      <c r="G191" s="2">
        <f t="shared" si="6"/>
        <v>150</v>
      </c>
      <c r="H191" t="str">
        <f t="shared" si="7"/>
        <v>Low</v>
      </c>
      <c r="I191" t="s">
        <v>14</v>
      </c>
      <c r="L191" t="s">
        <v>15</v>
      </c>
      <c r="M191" s="3">
        <f t="shared" si="8"/>
        <v>2145050</v>
      </c>
    </row>
    <row r="192" spans="1:13" ht="15.75" x14ac:dyDescent="0.3">
      <c r="A192" s="1">
        <v>45566</v>
      </c>
      <c r="B192" t="s">
        <v>25</v>
      </c>
      <c r="C192" t="s">
        <v>21</v>
      </c>
      <c r="D192" t="s">
        <v>20</v>
      </c>
      <c r="E192">
        <v>1</v>
      </c>
      <c r="F192">
        <v>3200</v>
      </c>
      <c r="G192" s="2">
        <f t="shared" si="6"/>
        <v>3200</v>
      </c>
      <c r="H192" t="str">
        <f t="shared" si="7"/>
        <v>Low</v>
      </c>
      <c r="I192" t="s">
        <v>8</v>
      </c>
      <c r="L192" t="s">
        <v>25</v>
      </c>
      <c r="M192" s="3">
        <f t="shared" si="8"/>
        <v>2243250</v>
      </c>
    </row>
    <row r="193" spans="1:13" ht="15.75" x14ac:dyDescent="0.3">
      <c r="A193" s="1">
        <v>45619</v>
      </c>
      <c r="B193" t="s">
        <v>25</v>
      </c>
      <c r="C193" t="s">
        <v>21</v>
      </c>
      <c r="D193" t="s">
        <v>20</v>
      </c>
      <c r="E193">
        <v>5</v>
      </c>
      <c r="F193">
        <v>8500</v>
      </c>
      <c r="G193" s="2">
        <f t="shared" si="6"/>
        <v>42500</v>
      </c>
      <c r="H193" t="str">
        <f t="shared" si="7"/>
        <v>High</v>
      </c>
      <c r="I193" t="s">
        <v>14</v>
      </c>
      <c r="L193" t="s">
        <v>25</v>
      </c>
      <c r="M193" s="3">
        <f t="shared" si="8"/>
        <v>2243250</v>
      </c>
    </row>
    <row r="194" spans="1:13" ht="15.75" x14ac:dyDescent="0.3">
      <c r="A194" s="1">
        <v>45582</v>
      </c>
      <c r="B194" t="s">
        <v>24</v>
      </c>
      <c r="C194" t="s">
        <v>16</v>
      </c>
      <c r="D194" t="s">
        <v>10</v>
      </c>
      <c r="E194">
        <v>6</v>
      </c>
      <c r="F194">
        <v>8500</v>
      </c>
      <c r="G194" s="2">
        <f t="shared" si="6"/>
        <v>51000</v>
      </c>
      <c r="H194" t="str">
        <f t="shared" si="7"/>
        <v>High</v>
      </c>
      <c r="I194" t="s">
        <v>11</v>
      </c>
      <c r="L194" t="s">
        <v>24</v>
      </c>
      <c r="M194" s="3">
        <f t="shared" si="8"/>
        <v>2514250</v>
      </c>
    </row>
    <row r="195" spans="1:13" ht="15.75" x14ac:dyDescent="0.3">
      <c r="A195" s="1">
        <v>45355</v>
      </c>
      <c r="B195" t="s">
        <v>12</v>
      </c>
      <c r="C195" t="s">
        <v>13</v>
      </c>
      <c r="D195" t="s">
        <v>10</v>
      </c>
      <c r="E195">
        <v>8</v>
      </c>
      <c r="F195">
        <v>300</v>
      </c>
      <c r="G195" s="2">
        <f t="shared" ref="G195:G258" si="9">E195*F195</f>
        <v>2400</v>
      </c>
      <c r="H195" t="str">
        <f t="shared" ref="H195:H258" si="10">IF(G195&gt;=10000,"High","Low")</f>
        <v>Low</v>
      </c>
      <c r="I195" t="s">
        <v>14</v>
      </c>
      <c r="L195" t="s">
        <v>12</v>
      </c>
      <c r="M195" s="3">
        <f t="shared" ref="M195:M258" si="11">SUMIF(B:B,L195,G:G)</f>
        <v>2865050</v>
      </c>
    </row>
    <row r="196" spans="1:13" ht="15.75" x14ac:dyDescent="0.3">
      <c r="A196" s="1">
        <v>45407</v>
      </c>
      <c r="B196" t="s">
        <v>25</v>
      </c>
      <c r="C196" t="s">
        <v>21</v>
      </c>
      <c r="D196" t="s">
        <v>17</v>
      </c>
      <c r="E196">
        <v>8</v>
      </c>
      <c r="F196">
        <v>300</v>
      </c>
      <c r="G196" s="2">
        <f t="shared" si="9"/>
        <v>2400</v>
      </c>
      <c r="H196" t="str">
        <f t="shared" si="10"/>
        <v>Low</v>
      </c>
      <c r="I196" t="s">
        <v>8</v>
      </c>
      <c r="L196" t="s">
        <v>25</v>
      </c>
      <c r="M196" s="3">
        <f t="shared" si="11"/>
        <v>2243250</v>
      </c>
    </row>
    <row r="197" spans="1:13" ht="15.75" x14ac:dyDescent="0.3">
      <c r="A197" s="1">
        <v>45397</v>
      </c>
      <c r="B197" t="s">
        <v>15</v>
      </c>
      <c r="C197" t="s">
        <v>16</v>
      </c>
      <c r="D197" t="s">
        <v>17</v>
      </c>
      <c r="E197">
        <v>3</v>
      </c>
      <c r="F197">
        <v>4500</v>
      </c>
      <c r="G197" s="2">
        <f t="shared" si="9"/>
        <v>13500</v>
      </c>
      <c r="H197" t="str">
        <f t="shared" si="10"/>
        <v>High</v>
      </c>
      <c r="I197" t="s">
        <v>14</v>
      </c>
      <c r="L197" t="s">
        <v>15</v>
      </c>
      <c r="M197" s="3">
        <f t="shared" si="11"/>
        <v>2145050</v>
      </c>
    </row>
    <row r="198" spans="1:13" ht="15.75" x14ac:dyDescent="0.3">
      <c r="A198" s="1">
        <v>45365</v>
      </c>
      <c r="B198" t="s">
        <v>9</v>
      </c>
      <c r="C198" t="s">
        <v>21</v>
      </c>
      <c r="D198" t="s">
        <v>17</v>
      </c>
      <c r="E198">
        <v>9</v>
      </c>
      <c r="F198">
        <v>4500</v>
      </c>
      <c r="G198" s="2">
        <f t="shared" si="9"/>
        <v>40500</v>
      </c>
      <c r="H198" t="str">
        <f t="shared" si="10"/>
        <v>High</v>
      </c>
      <c r="I198" t="s">
        <v>11</v>
      </c>
      <c r="L198" t="s">
        <v>9</v>
      </c>
      <c r="M198" s="3">
        <f t="shared" si="11"/>
        <v>1849750</v>
      </c>
    </row>
    <row r="199" spans="1:13" ht="15.75" x14ac:dyDescent="0.3">
      <c r="A199" s="1">
        <v>45418</v>
      </c>
      <c r="B199" t="s">
        <v>26</v>
      </c>
      <c r="C199" t="s">
        <v>21</v>
      </c>
      <c r="D199" t="s">
        <v>7</v>
      </c>
      <c r="E199">
        <v>8</v>
      </c>
      <c r="F199">
        <v>4500</v>
      </c>
      <c r="G199" s="2">
        <f t="shared" si="9"/>
        <v>36000</v>
      </c>
      <c r="H199" t="str">
        <f t="shared" si="10"/>
        <v>High</v>
      </c>
      <c r="I199" t="s">
        <v>11</v>
      </c>
      <c r="L199" t="s">
        <v>26</v>
      </c>
      <c r="M199" s="3">
        <f t="shared" si="11"/>
        <v>2430500</v>
      </c>
    </row>
    <row r="200" spans="1:13" ht="15.75" x14ac:dyDescent="0.3">
      <c r="A200" s="1">
        <v>45535</v>
      </c>
      <c r="B200" t="s">
        <v>12</v>
      </c>
      <c r="C200" t="s">
        <v>21</v>
      </c>
      <c r="D200" t="s">
        <v>20</v>
      </c>
      <c r="E200">
        <v>6</v>
      </c>
      <c r="F200">
        <v>150</v>
      </c>
      <c r="G200" s="2">
        <f t="shared" si="9"/>
        <v>900</v>
      </c>
      <c r="H200" t="str">
        <f t="shared" si="10"/>
        <v>Low</v>
      </c>
      <c r="I200" t="s">
        <v>11</v>
      </c>
      <c r="L200" t="s">
        <v>12</v>
      </c>
      <c r="M200" s="3">
        <f t="shared" si="11"/>
        <v>2865050</v>
      </c>
    </row>
    <row r="201" spans="1:13" ht="15.75" x14ac:dyDescent="0.3">
      <c r="A201" s="1">
        <v>45594</v>
      </c>
      <c r="B201" t="s">
        <v>25</v>
      </c>
      <c r="C201" t="s">
        <v>22</v>
      </c>
      <c r="D201" t="s">
        <v>18</v>
      </c>
      <c r="E201">
        <v>8</v>
      </c>
      <c r="F201">
        <v>8500</v>
      </c>
      <c r="G201" s="2">
        <f t="shared" si="9"/>
        <v>68000</v>
      </c>
      <c r="H201" t="str">
        <f t="shared" si="10"/>
        <v>High</v>
      </c>
      <c r="I201" t="s">
        <v>8</v>
      </c>
      <c r="L201" t="s">
        <v>25</v>
      </c>
      <c r="M201" s="3">
        <f t="shared" si="11"/>
        <v>2243250</v>
      </c>
    </row>
    <row r="202" spans="1:13" ht="15.75" x14ac:dyDescent="0.3">
      <c r="A202" s="1">
        <v>45518</v>
      </c>
      <c r="B202" t="s">
        <v>19</v>
      </c>
      <c r="C202" t="s">
        <v>22</v>
      </c>
      <c r="D202" t="s">
        <v>7</v>
      </c>
      <c r="E202">
        <v>5</v>
      </c>
      <c r="F202">
        <v>3200</v>
      </c>
      <c r="G202" s="2">
        <f t="shared" si="9"/>
        <v>16000</v>
      </c>
      <c r="H202" t="str">
        <f t="shared" si="10"/>
        <v>High</v>
      </c>
      <c r="I202" t="s">
        <v>11</v>
      </c>
      <c r="L202" t="s">
        <v>19</v>
      </c>
      <c r="M202" s="3">
        <f t="shared" si="11"/>
        <v>2179300</v>
      </c>
    </row>
    <row r="203" spans="1:13" ht="15.75" x14ac:dyDescent="0.3">
      <c r="A203" s="1">
        <v>45557</v>
      </c>
      <c r="B203" t="s">
        <v>15</v>
      </c>
      <c r="C203" t="s">
        <v>13</v>
      </c>
      <c r="D203" t="s">
        <v>10</v>
      </c>
      <c r="E203">
        <v>6</v>
      </c>
      <c r="F203">
        <v>150</v>
      </c>
      <c r="G203" s="2">
        <f t="shared" si="9"/>
        <v>900</v>
      </c>
      <c r="H203" t="str">
        <f t="shared" si="10"/>
        <v>Low</v>
      </c>
      <c r="I203" t="s">
        <v>11</v>
      </c>
      <c r="L203" t="s">
        <v>15</v>
      </c>
      <c r="M203" s="3">
        <f t="shared" si="11"/>
        <v>2145050</v>
      </c>
    </row>
    <row r="204" spans="1:13" ht="15.75" x14ac:dyDescent="0.3">
      <c r="A204" s="1">
        <v>45422</v>
      </c>
      <c r="B204" t="s">
        <v>26</v>
      </c>
      <c r="C204" t="s">
        <v>21</v>
      </c>
      <c r="D204" t="s">
        <v>18</v>
      </c>
      <c r="E204">
        <v>8</v>
      </c>
      <c r="F204">
        <v>300</v>
      </c>
      <c r="G204" s="2">
        <f t="shared" si="9"/>
        <v>2400</v>
      </c>
      <c r="H204" t="str">
        <f t="shared" si="10"/>
        <v>Low</v>
      </c>
      <c r="I204" t="s">
        <v>11</v>
      </c>
      <c r="L204" t="s">
        <v>26</v>
      </c>
      <c r="M204" s="3">
        <f t="shared" si="11"/>
        <v>2430500</v>
      </c>
    </row>
    <row r="205" spans="1:13" ht="15.75" x14ac:dyDescent="0.3">
      <c r="A205" s="1">
        <v>45436</v>
      </c>
      <c r="B205" t="s">
        <v>24</v>
      </c>
      <c r="C205" t="s">
        <v>22</v>
      </c>
      <c r="D205" t="s">
        <v>7</v>
      </c>
      <c r="E205">
        <v>8</v>
      </c>
      <c r="F205">
        <v>3200</v>
      </c>
      <c r="G205" s="2">
        <f t="shared" si="9"/>
        <v>25600</v>
      </c>
      <c r="H205" t="str">
        <f t="shared" si="10"/>
        <v>High</v>
      </c>
      <c r="I205" t="s">
        <v>8</v>
      </c>
      <c r="L205" t="s">
        <v>24</v>
      </c>
      <c r="M205" s="3">
        <f t="shared" si="11"/>
        <v>2514250</v>
      </c>
    </row>
    <row r="206" spans="1:13" ht="15.75" x14ac:dyDescent="0.3">
      <c r="A206" s="1">
        <v>45574</v>
      </c>
      <c r="B206" t="s">
        <v>26</v>
      </c>
      <c r="C206" t="s">
        <v>21</v>
      </c>
      <c r="D206" t="s">
        <v>10</v>
      </c>
      <c r="E206">
        <v>4</v>
      </c>
      <c r="F206">
        <v>150</v>
      </c>
      <c r="G206" s="2">
        <f t="shared" si="9"/>
        <v>600</v>
      </c>
      <c r="H206" t="str">
        <f t="shared" si="10"/>
        <v>Low</v>
      </c>
      <c r="I206" t="s">
        <v>11</v>
      </c>
      <c r="L206" t="s">
        <v>26</v>
      </c>
      <c r="M206" s="3">
        <f t="shared" si="11"/>
        <v>2430500</v>
      </c>
    </row>
    <row r="207" spans="1:13" ht="15.75" x14ac:dyDescent="0.3">
      <c r="A207" s="1">
        <v>45311</v>
      </c>
      <c r="B207" t="s">
        <v>23</v>
      </c>
      <c r="C207" t="s">
        <v>22</v>
      </c>
      <c r="D207" t="s">
        <v>17</v>
      </c>
      <c r="E207">
        <v>2</v>
      </c>
      <c r="F207">
        <v>300</v>
      </c>
      <c r="G207" s="2">
        <f t="shared" si="9"/>
        <v>600</v>
      </c>
      <c r="H207" t="str">
        <f t="shared" si="10"/>
        <v>Low</v>
      </c>
      <c r="I207" t="s">
        <v>8</v>
      </c>
      <c r="L207" t="s">
        <v>23</v>
      </c>
      <c r="M207" s="3">
        <f t="shared" si="11"/>
        <v>2202100</v>
      </c>
    </row>
    <row r="208" spans="1:13" ht="15.75" x14ac:dyDescent="0.3">
      <c r="A208" s="1">
        <v>45360</v>
      </c>
      <c r="B208" t="s">
        <v>25</v>
      </c>
      <c r="C208" t="s">
        <v>16</v>
      </c>
      <c r="D208" t="s">
        <v>18</v>
      </c>
      <c r="E208">
        <v>1</v>
      </c>
      <c r="F208">
        <v>4500</v>
      </c>
      <c r="G208" s="2">
        <f t="shared" si="9"/>
        <v>4500</v>
      </c>
      <c r="H208" t="str">
        <f t="shared" si="10"/>
        <v>Low</v>
      </c>
      <c r="I208" t="s">
        <v>14</v>
      </c>
      <c r="L208" t="s">
        <v>25</v>
      </c>
      <c r="M208" s="3">
        <f t="shared" si="11"/>
        <v>2243250</v>
      </c>
    </row>
    <row r="209" spans="1:13" ht="15.75" x14ac:dyDescent="0.3">
      <c r="A209" s="1">
        <v>45537</v>
      </c>
      <c r="B209" t="s">
        <v>19</v>
      </c>
      <c r="C209" t="s">
        <v>16</v>
      </c>
      <c r="D209" t="s">
        <v>10</v>
      </c>
      <c r="E209">
        <v>3</v>
      </c>
      <c r="F209">
        <v>3200</v>
      </c>
      <c r="G209" s="2">
        <f t="shared" si="9"/>
        <v>9600</v>
      </c>
      <c r="H209" t="str">
        <f t="shared" si="10"/>
        <v>Low</v>
      </c>
      <c r="I209" t="s">
        <v>8</v>
      </c>
      <c r="L209" t="s">
        <v>19</v>
      </c>
      <c r="M209" s="3">
        <f t="shared" si="11"/>
        <v>2179300</v>
      </c>
    </row>
    <row r="210" spans="1:13" ht="15.75" x14ac:dyDescent="0.3">
      <c r="A210" s="1">
        <v>45574</v>
      </c>
      <c r="B210" t="s">
        <v>15</v>
      </c>
      <c r="C210" t="s">
        <v>16</v>
      </c>
      <c r="D210" t="s">
        <v>7</v>
      </c>
      <c r="E210">
        <v>8</v>
      </c>
      <c r="F210">
        <v>300</v>
      </c>
      <c r="G210" s="2">
        <f t="shared" si="9"/>
        <v>2400</v>
      </c>
      <c r="H210" t="str">
        <f t="shared" si="10"/>
        <v>Low</v>
      </c>
      <c r="I210" t="s">
        <v>14</v>
      </c>
      <c r="L210" t="s">
        <v>15</v>
      </c>
      <c r="M210" s="3">
        <f t="shared" si="11"/>
        <v>2145050</v>
      </c>
    </row>
    <row r="211" spans="1:13" ht="15.75" x14ac:dyDescent="0.3">
      <c r="A211" s="1">
        <v>45589</v>
      </c>
      <c r="B211" t="s">
        <v>12</v>
      </c>
      <c r="C211" t="s">
        <v>16</v>
      </c>
      <c r="D211" t="s">
        <v>7</v>
      </c>
      <c r="E211">
        <v>3</v>
      </c>
      <c r="F211">
        <v>150</v>
      </c>
      <c r="G211" s="2">
        <f t="shared" si="9"/>
        <v>450</v>
      </c>
      <c r="H211" t="str">
        <f t="shared" si="10"/>
        <v>Low</v>
      </c>
      <c r="I211" t="s">
        <v>8</v>
      </c>
      <c r="L211" t="s">
        <v>12</v>
      </c>
      <c r="M211" s="3">
        <f t="shared" si="11"/>
        <v>2865050</v>
      </c>
    </row>
    <row r="212" spans="1:13" ht="15.75" x14ac:dyDescent="0.3">
      <c r="A212" s="1">
        <v>45634</v>
      </c>
      <c r="B212" t="s">
        <v>12</v>
      </c>
      <c r="C212" t="s">
        <v>6</v>
      </c>
      <c r="D212" t="s">
        <v>17</v>
      </c>
      <c r="E212">
        <v>10</v>
      </c>
      <c r="F212">
        <v>150</v>
      </c>
      <c r="G212" s="2">
        <f t="shared" si="9"/>
        <v>1500</v>
      </c>
      <c r="H212" t="str">
        <f t="shared" si="10"/>
        <v>Low</v>
      </c>
      <c r="I212" t="s">
        <v>11</v>
      </c>
      <c r="L212" t="s">
        <v>12</v>
      </c>
      <c r="M212" s="3">
        <f t="shared" si="11"/>
        <v>2865050</v>
      </c>
    </row>
    <row r="213" spans="1:13" ht="15.75" x14ac:dyDescent="0.3">
      <c r="A213" s="1">
        <v>45646</v>
      </c>
      <c r="B213" t="s">
        <v>9</v>
      </c>
      <c r="C213" t="s">
        <v>6</v>
      </c>
      <c r="D213" t="s">
        <v>10</v>
      </c>
      <c r="E213">
        <v>7</v>
      </c>
      <c r="F213">
        <v>4500</v>
      </c>
      <c r="G213" s="2">
        <f t="shared" si="9"/>
        <v>31500</v>
      </c>
      <c r="H213" t="str">
        <f t="shared" si="10"/>
        <v>High</v>
      </c>
      <c r="I213" t="s">
        <v>11</v>
      </c>
      <c r="L213" t="s">
        <v>9</v>
      </c>
      <c r="M213" s="3">
        <f t="shared" si="11"/>
        <v>1849750</v>
      </c>
    </row>
    <row r="214" spans="1:13" ht="15.75" x14ac:dyDescent="0.3">
      <c r="A214" s="1">
        <v>45310</v>
      </c>
      <c r="B214" t="s">
        <v>24</v>
      </c>
      <c r="C214" t="s">
        <v>13</v>
      </c>
      <c r="D214" t="s">
        <v>7</v>
      </c>
      <c r="E214">
        <v>1</v>
      </c>
      <c r="F214">
        <v>300</v>
      </c>
      <c r="G214" s="2">
        <f t="shared" si="9"/>
        <v>300</v>
      </c>
      <c r="H214" t="str">
        <f t="shared" si="10"/>
        <v>Low</v>
      </c>
      <c r="I214" t="s">
        <v>14</v>
      </c>
      <c r="L214" t="s">
        <v>24</v>
      </c>
      <c r="M214" s="3">
        <f t="shared" si="11"/>
        <v>2514250</v>
      </c>
    </row>
    <row r="215" spans="1:13" ht="15.75" x14ac:dyDescent="0.3">
      <c r="A215" s="1">
        <v>45294</v>
      </c>
      <c r="B215" t="s">
        <v>24</v>
      </c>
      <c r="C215" t="s">
        <v>21</v>
      </c>
      <c r="D215" t="s">
        <v>18</v>
      </c>
      <c r="E215">
        <v>3</v>
      </c>
      <c r="F215">
        <v>150</v>
      </c>
      <c r="G215" s="2">
        <f t="shared" si="9"/>
        <v>450</v>
      </c>
      <c r="H215" t="str">
        <f t="shared" si="10"/>
        <v>Low</v>
      </c>
      <c r="I215" t="s">
        <v>14</v>
      </c>
      <c r="L215" t="s">
        <v>24</v>
      </c>
      <c r="M215" s="3">
        <f t="shared" si="11"/>
        <v>2514250</v>
      </c>
    </row>
    <row r="216" spans="1:13" ht="15.75" x14ac:dyDescent="0.3">
      <c r="A216" s="1">
        <v>45482</v>
      </c>
      <c r="B216" t="s">
        <v>15</v>
      </c>
      <c r="C216" t="s">
        <v>13</v>
      </c>
      <c r="D216" t="s">
        <v>17</v>
      </c>
      <c r="E216">
        <v>10</v>
      </c>
      <c r="F216">
        <v>3200</v>
      </c>
      <c r="G216" s="2">
        <f t="shared" si="9"/>
        <v>32000</v>
      </c>
      <c r="H216" t="str">
        <f t="shared" si="10"/>
        <v>High</v>
      </c>
      <c r="I216" t="s">
        <v>14</v>
      </c>
      <c r="L216" t="s">
        <v>15</v>
      </c>
      <c r="M216" s="3">
        <f t="shared" si="11"/>
        <v>2145050</v>
      </c>
    </row>
    <row r="217" spans="1:13" ht="15.75" x14ac:dyDescent="0.3">
      <c r="A217" s="1">
        <v>45459</v>
      </c>
      <c r="B217" t="s">
        <v>12</v>
      </c>
      <c r="C217" t="s">
        <v>6</v>
      </c>
      <c r="D217" t="s">
        <v>10</v>
      </c>
      <c r="E217">
        <v>7</v>
      </c>
      <c r="F217">
        <v>4500</v>
      </c>
      <c r="G217" s="2">
        <f t="shared" si="9"/>
        <v>31500</v>
      </c>
      <c r="H217" t="str">
        <f t="shared" si="10"/>
        <v>High</v>
      </c>
      <c r="I217" t="s">
        <v>14</v>
      </c>
      <c r="L217" t="s">
        <v>12</v>
      </c>
      <c r="M217" s="3">
        <f t="shared" si="11"/>
        <v>2865050</v>
      </c>
    </row>
    <row r="218" spans="1:13" ht="15.75" x14ac:dyDescent="0.3">
      <c r="A218" s="1">
        <v>45599</v>
      </c>
      <c r="B218" t="s">
        <v>23</v>
      </c>
      <c r="C218" t="s">
        <v>21</v>
      </c>
      <c r="D218" t="s">
        <v>18</v>
      </c>
      <c r="E218">
        <v>1</v>
      </c>
      <c r="F218">
        <v>300</v>
      </c>
      <c r="G218" s="2">
        <f t="shared" si="9"/>
        <v>300</v>
      </c>
      <c r="H218" t="str">
        <f t="shared" si="10"/>
        <v>Low</v>
      </c>
      <c r="I218" t="s">
        <v>8</v>
      </c>
      <c r="L218" t="s">
        <v>23</v>
      </c>
      <c r="M218" s="3">
        <f t="shared" si="11"/>
        <v>2202100</v>
      </c>
    </row>
    <row r="219" spans="1:13" ht="15.75" x14ac:dyDescent="0.3">
      <c r="A219" s="1">
        <v>45620</v>
      </c>
      <c r="B219" t="s">
        <v>19</v>
      </c>
      <c r="C219" t="s">
        <v>16</v>
      </c>
      <c r="D219" t="s">
        <v>7</v>
      </c>
      <c r="E219">
        <v>10</v>
      </c>
      <c r="F219">
        <v>3200</v>
      </c>
      <c r="G219" s="2">
        <f t="shared" si="9"/>
        <v>32000</v>
      </c>
      <c r="H219" t="str">
        <f t="shared" si="10"/>
        <v>High</v>
      </c>
      <c r="I219" t="s">
        <v>11</v>
      </c>
      <c r="L219" t="s">
        <v>19</v>
      </c>
      <c r="M219" s="3">
        <f t="shared" si="11"/>
        <v>2179300</v>
      </c>
    </row>
    <row r="220" spans="1:13" ht="15.75" x14ac:dyDescent="0.3">
      <c r="A220" s="1">
        <v>45313</v>
      </c>
      <c r="B220" t="s">
        <v>25</v>
      </c>
      <c r="C220" t="s">
        <v>16</v>
      </c>
      <c r="D220" t="s">
        <v>7</v>
      </c>
      <c r="E220">
        <v>8</v>
      </c>
      <c r="F220">
        <v>150</v>
      </c>
      <c r="G220" s="2">
        <f t="shared" si="9"/>
        <v>1200</v>
      </c>
      <c r="H220" t="str">
        <f t="shared" si="10"/>
        <v>Low</v>
      </c>
      <c r="I220" t="s">
        <v>14</v>
      </c>
      <c r="L220" t="s">
        <v>25</v>
      </c>
      <c r="M220" s="3">
        <f t="shared" si="11"/>
        <v>2243250</v>
      </c>
    </row>
    <row r="221" spans="1:13" ht="15.75" x14ac:dyDescent="0.3">
      <c r="A221" s="1">
        <v>45472</v>
      </c>
      <c r="B221" t="s">
        <v>19</v>
      </c>
      <c r="C221" t="s">
        <v>13</v>
      </c>
      <c r="D221" t="s">
        <v>7</v>
      </c>
      <c r="E221">
        <v>8</v>
      </c>
      <c r="F221">
        <v>150</v>
      </c>
      <c r="G221" s="2">
        <f t="shared" si="9"/>
        <v>1200</v>
      </c>
      <c r="H221" t="str">
        <f t="shared" si="10"/>
        <v>Low</v>
      </c>
      <c r="I221" t="s">
        <v>8</v>
      </c>
      <c r="L221" t="s">
        <v>19</v>
      </c>
      <c r="M221" s="3">
        <f t="shared" si="11"/>
        <v>2179300</v>
      </c>
    </row>
    <row r="222" spans="1:13" ht="15.75" x14ac:dyDescent="0.3">
      <c r="A222" s="1">
        <v>45352</v>
      </c>
      <c r="B222" t="s">
        <v>25</v>
      </c>
      <c r="C222" t="s">
        <v>16</v>
      </c>
      <c r="D222" t="s">
        <v>18</v>
      </c>
      <c r="E222">
        <v>6</v>
      </c>
      <c r="F222">
        <v>150</v>
      </c>
      <c r="G222" s="2">
        <f t="shared" si="9"/>
        <v>900</v>
      </c>
      <c r="H222" t="str">
        <f t="shared" si="10"/>
        <v>Low</v>
      </c>
      <c r="I222" t="s">
        <v>11</v>
      </c>
      <c r="L222" t="s">
        <v>25</v>
      </c>
      <c r="M222" s="3">
        <f t="shared" si="11"/>
        <v>2243250</v>
      </c>
    </row>
    <row r="223" spans="1:13" ht="15.75" x14ac:dyDescent="0.3">
      <c r="A223" s="1">
        <v>45305</v>
      </c>
      <c r="B223" t="s">
        <v>15</v>
      </c>
      <c r="C223" t="s">
        <v>6</v>
      </c>
      <c r="D223" t="s">
        <v>17</v>
      </c>
      <c r="E223">
        <v>10</v>
      </c>
      <c r="F223">
        <v>3200</v>
      </c>
      <c r="G223" s="2">
        <f t="shared" si="9"/>
        <v>32000</v>
      </c>
      <c r="H223" t="str">
        <f t="shared" si="10"/>
        <v>High</v>
      </c>
      <c r="I223" t="s">
        <v>14</v>
      </c>
      <c r="L223" t="s">
        <v>15</v>
      </c>
      <c r="M223" s="3">
        <f t="shared" si="11"/>
        <v>2145050</v>
      </c>
    </row>
    <row r="224" spans="1:13" ht="15.75" x14ac:dyDescent="0.3">
      <c r="A224" s="1">
        <v>45315</v>
      </c>
      <c r="B224" t="s">
        <v>15</v>
      </c>
      <c r="C224" t="s">
        <v>13</v>
      </c>
      <c r="D224" t="s">
        <v>20</v>
      </c>
      <c r="E224">
        <v>10</v>
      </c>
      <c r="F224">
        <v>4500</v>
      </c>
      <c r="G224" s="2">
        <f t="shared" si="9"/>
        <v>45000</v>
      </c>
      <c r="H224" t="str">
        <f t="shared" si="10"/>
        <v>High</v>
      </c>
      <c r="I224" t="s">
        <v>11</v>
      </c>
      <c r="L224" t="s">
        <v>15</v>
      </c>
      <c r="M224" s="3">
        <f t="shared" si="11"/>
        <v>2145050</v>
      </c>
    </row>
    <row r="225" spans="1:13" ht="15.75" x14ac:dyDescent="0.3">
      <c r="A225" s="1">
        <v>45409</v>
      </c>
      <c r="B225" t="s">
        <v>9</v>
      </c>
      <c r="C225" t="s">
        <v>13</v>
      </c>
      <c r="D225" t="s">
        <v>10</v>
      </c>
      <c r="E225">
        <v>3</v>
      </c>
      <c r="F225">
        <v>8500</v>
      </c>
      <c r="G225" s="2">
        <f t="shared" si="9"/>
        <v>25500</v>
      </c>
      <c r="H225" t="str">
        <f t="shared" si="10"/>
        <v>High</v>
      </c>
      <c r="I225" t="s">
        <v>14</v>
      </c>
      <c r="L225" t="s">
        <v>9</v>
      </c>
      <c r="M225" s="3">
        <f t="shared" si="11"/>
        <v>1849750</v>
      </c>
    </row>
    <row r="226" spans="1:13" ht="15.75" x14ac:dyDescent="0.3">
      <c r="A226" s="1">
        <v>45423</v>
      </c>
      <c r="B226" t="s">
        <v>12</v>
      </c>
      <c r="C226" t="s">
        <v>6</v>
      </c>
      <c r="D226" t="s">
        <v>20</v>
      </c>
      <c r="E226">
        <v>2</v>
      </c>
      <c r="F226">
        <v>300</v>
      </c>
      <c r="G226" s="2">
        <f t="shared" si="9"/>
        <v>600</v>
      </c>
      <c r="H226" t="str">
        <f t="shared" si="10"/>
        <v>Low</v>
      </c>
      <c r="I226" t="s">
        <v>11</v>
      </c>
      <c r="L226" t="s">
        <v>12</v>
      </c>
      <c r="M226" s="3">
        <f t="shared" si="11"/>
        <v>2865050</v>
      </c>
    </row>
    <row r="227" spans="1:13" ht="15.75" x14ac:dyDescent="0.3">
      <c r="A227" s="1">
        <v>45437</v>
      </c>
      <c r="B227" t="s">
        <v>19</v>
      </c>
      <c r="C227" t="s">
        <v>21</v>
      </c>
      <c r="D227" t="s">
        <v>10</v>
      </c>
      <c r="E227">
        <v>9</v>
      </c>
      <c r="F227">
        <v>8500</v>
      </c>
      <c r="G227" s="2">
        <f t="shared" si="9"/>
        <v>76500</v>
      </c>
      <c r="H227" t="str">
        <f t="shared" si="10"/>
        <v>High</v>
      </c>
      <c r="I227" t="s">
        <v>8</v>
      </c>
      <c r="L227" t="s">
        <v>19</v>
      </c>
      <c r="M227" s="3">
        <f t="shared" si="11"/>
        <v>2179300</v>
      </c>
    </row>
    <row r="228" spans="1:13" ht="15.75" x14ac:dyDescent="0.3">
      <c r="A228" s="1">
        <v>45373</v>
      </c>
      <c r="B228" t="s">
        <v>9</v>
      </c>
      <c r="C228" t="s">
        <v>22</v>
      </c>
      <c r="D228" t="s">
        <v>7</v>
      </c>
      <c r="E228">
        <v>6</v>
      </c>
      <c r="F228">
        <v>300</v>
      </c>
      <c r="G228" s="2">
        <f t="shared" si="9"/>
        <v>1800</v>
      </c>
      <c r="H228" t="str">
        <f t="shared" si="10"/>
        <v>Low</v>
      </c>
      <c r="I228" t="s">
        <v>8</v>
      </c>
      <c r="L228" t="s">
        <v>9</v>
      </c>
      <c r="M228" s="3">
        <f t="shared" si="11"/>
        <v>1849750</v>
      </c>
    </row>
    <row r="229" spans="1:13" ht="15.75" x14ac:dyDescent="0.3">
      <c r="A229" s="1">
        <v>45511</v>
      </c>
      <c r="B229" t="s">
        <v>24</v>
      </c>
      <c r="C229" t="s">
        <v>16</v>
      </c>
      <c r="D229" t="s">
        <v>17</v>
      </c>
      <c r="E229">
        <v>3</v>
      </c>
      <c r="F229">
        <v>150</v>
      </c>
      <c r="G229" s="2">
        <f t="shared" si="9"/>
        <v>450</v>
      </c>
      <c r="H229" t="str">
        <f t="shared" si="10"/>
        <v>Low</v>
      </c>
      <c r="I229" t="s">
        <v>14</v>
      </c>
      <c r="L229" t="s">
        <v>24</v>
      </c>
      <c r="M229" s="3">
        <f t="shared" si="11"/>
        <v>2514250</v>
      </c>
    </row>
    <row r="230" spans="1:13" ht="15.75" x14ac:dyDescent="0.3">
      <c r="A230" s="1">
        <v>45600</v>
      </c>
      <c r="B230" t="s">
        <v>19</v>
      </c>
      <c r="C230" t="s">
        <v>6</v>
      </c>
      <c r="D230" t="s">
        <v>17</v>
      </c>
      <c r="E230">
        <v>7</v>
      </c>
      <c r="F230">
        <v>4500</v>
      </c>
      <c r="G230" s="2">
        <f t="shared" si="9"/>
        <v>31500</v>
      </c>
      <c r="H230" t="str">
        <f t="shared" si="10"/>
        <v>High</v>
      </c>
      <c r="I230" t="s">
        <v>14</v>
      </c>
      <c r="L230" t="s">
        <v>19</v>
      </c>
      <c r="M230" s="3">
        <f t="shared" si="11"/>
        <v>2179300</v>
      </c>
    </row>
    <row r="231" spans="1:13" ht="15.75" x14ac:dyDescent="0.3">
      <c r="A231" s="1">
        <v>45394</v>
      </c>
      <c r="B231" t="s">
        <v>25</v>
      </c>
      <c r="C231" t="s">
        <v>22</v>
      </c>
      <c r="D231" t="s">
        <v>7</v>
      </c>
      <c r="E231">
        <v>6</v>
      </c>
      <c r="F231">
        <v>4500</v>
      </c>
      <c r="G231" s="2">
        <f t="shared" si="9"/>
        <v>27000</v>
      </c>
      <c r="H231" t="str">
        <f t="shared" si="10"/>
        <v>High</v>
      </c>
      <c r="I231" t="s">
        <v>8</v>
      </c>
      <c r="L231" t="s">
        <v>25</v>
      </c>
      <c r="M231" s="3">
        <f t="shared" si="11"/>
        <v>2243250</v>
      </c>
    </row>
    <row r="232" spans="1:13" ht="15.75" x14ac:dyDescent="0.3">
      <c r="A232" s="1">
        <v>45490</v>
      </c>
      <c r="B232" t="s">
        <v>25</v>
      </c>
      <c r="C232" t="s">
        <v>22</v>
      </c>
      <c r="D232" t="s">
        <v>7</v>
      </c>
      <c r="E232">
        <v>5</v>
      </c>
      <c r="F232">
        <v>150</v>
      </c>
      <c r="G232" s="2">
        <f t="shared" si="9"/>
        <v>750</v>
      </c>
      <c r="H232" t="str">
        <f t="shared" si="10"/>
        <v>Low</v>
      </c>
      <c r="I232" t="s">
        <v>11</v>
      </c>
      <c r="L232" t="s">
        <v>25</v>
      </c>
      <c r="M232" s="3">
        <f t="shared" si="11"/>
        <v>2243250</v>
      </c>
    </row>
    <row r="233" spans="1:13" ht="15.75" x14ac:dyDescent="0.3">
      <c r="A233" s="1">
        <v>45301</v>
      </c>
      <c r="B233" t="s">
        <v>12</v>
      </c>
      <c r="C233" t="s">
        <v>6</v>
      </c>
      <c r="D233" t="s">
        <v>18</v>
      </c>
      <c r="E233">
        <v>1</v>
      </c>
      <c r="F233">
        <v>150</v>
      </c>
      <c r="G233" s="2">
        <f t="shared" si="9"/>
        <v>150</v>
      </c>
      <c r="H233" t="str">
        <f t="shared" si="10"/>
        <v>Low</v>
      </c>
      <c r="I233" t="s">
        <v>11</v>
      </c>
      <c r="L233" t="s">
        <v>12</v>
      </c>
      <c r="M233" s="3">
        <f t="shared" si="11"/>
        <v>2865050</v>
      </c>
    </row>
    <row r="234" spans="1:13" ht="15.75" x14ac:dyDescent="0.3">
      <c r="A234" s="1">
        <v>45384</v>
      </c>
      <c r="B234" t="s">
        <v>15</v>
      </c>
      <c r="C234" t="s">
        <v>13</v>
      </c>
      <c r="D234" t="s">
        <v>17</v>
      </c>
      <c r="E234">
        <v>3</v>
      </c>
      <c r="F234">
        <v>3200</v>
      </c>
      <c r="G234" s="2">
        <f t="shared" si="9"/>
        <v>9600</v>
      </c>
      <c r="H234" t="str">
        <f t="shared" si="10"/>
        <v>Low</v>
      </c>
      <c r="I234" t="s">
        <v>11</v>
      </c>
      <c r="L234" t="s">
        <v>15</v>
      </c>
      <c r="M234" s="3">
        <f t="shared" si="11"/>
        <v>2145050</v>
      </c>
    </row>
    <row r="235" spans="1:13" ht="15.75" x14ac:dyDescent="0.3">
      <c r="A235" s="1">
        <v>45479</v>
      </c>
      <c r="B235" t="s">
        <v>15</v>
      </c>
      <c r="C235" t="s">
        <v>22</v>
      </c>
      <c r="D235" t="s">
        <v>18</v>
      </c>
      <c r="E235">
        <v>8</v>
      </c>
      <c r="F235">
        <v>4500</v>
      </c>
      <c r="G235" s="2">
        <f t="shared" si="9"/>
        <v>36000</v>
      </c>
      <c r="H235" t="str">
        <f t="shared" si="10"/>
        <v>High</v>
      </c>
      <c r="I235" t="s">
        <v>14</v>
      </c>
      <c r="L235" t="s">
        <v>15</v>
      </c>
      <c r="M235" s="3">
        <f t="shared" si="11"/>
        <v>2145050</v>
      </c>
    </row>
    <row r="236" spans="1:13" ht="15.75" x14ac:dyDescent="0.3">
      <c r="A236" s="1">
        <v>45309</v>
      </c>
      <c r="B236" t="s">
        <v>24</v>
      </c>
      <c r="C236" t="s">
        <v>22</v>
      </c>
      <c r="D236" t="s">
        <v>10</v>
      </c>
      <c r="E236">
        <v>10</v>
      </c>
      <c r="F236">
        <v>3200</v>
      </c>
      <c r="G236" s="2">
        <f t="shared" si="9"/>
        <v>32000</v>
      </c>
      <c r="H236" t="str">
        <f t="shared" si="10"/>
        <v>High</v>
      </c>
      <c r="I236" t="s">
        <v>14</v>
      </c>
      <c r="L236" t="s">
        <v>24</v>
      </c>
      <c r="M236" s="3">
        <f t="shared" si="11"/>
        <v>2514250</v>
      </c>
    </row>
    <row r="237" spans="1:13" ht="15.75" x14ac:dyDescent="0.3">
      <c r="A237" s="1">
        <v>45337</v>
      </c>
      <c r="B237" t="s">
        <v>9</v>
      </c>
      <c r="C237" t="s">
        <v>13</v>
      </c>
      <c r="D237" t="s">
        <v>20</v>
      </c>
      <c r="E237">
        <v>7</v>
      </c>
      <c r="F237">
        <v>300</v>
      </c>
      <c r="G237" s="2">
        <f t="shared" si="9"/>
        <v>2100</v>
      </c>
      <c r="H237" t="str">
        <f t="shared" si="10"/>
        <v>Low</v>
      </c>
      <c r="I237" t="s">
        <v>11</v>
      </c>
      <c r="L237" t="s">
        <v>9</v>
      </c>
      <c r="M237" s="3">
        <f t="shared" si="11"/>
        <v>1849750</v>
      </c>
    </row>
    <row r="238" spans="1:13" ht="15.75" x14ac:dyDescent="0.3">
      <c r="A238" s="1">
        <v>45636</v>
      </c>
      <c r="B238" t="s">
        <v>24</v>
      </c>
      <c r="C238" t="s">
        <v>6</v>
      </c>
      <c r="D238" t="s">
        <v>20</v>
      </c>
      <c r="E238">
        <v>3</v>
      </c>
      <c r="F238">
        <v>8500</v>
      </c>
      <c r="G238" s="2">
        <f t="shared" si="9"/>
        <v>25500</v>
      </c>
      <c r="H238" t="str">
        <f t="shared" si="10"/>
        <v>High</v>
      </c>
      <c r="I238" t="s">
        <v>11</v>
      </c>
      <c r="L238" t="s">
        <v>24</v>
      </c>
      <c r="M238" s="3">
        <f t="shared" si="11"/>
        <v>2514250</v>
      </c>
    </row>
    <row r="239" spans="1:13" ht="15.75" x14ac:dyDescent="0.3">
      <c r="A239" s="1">
        <v>45655</v>
      </c>
      <c r="B239" t="s">
        <v>12</v>
      </c>
      <c r="C239" t="s">
        <v>6</v>
      </c>
      <c r="D239" t="s">
        <v>18</v>
      </c>
      <c r="E239">
        <v>10</v>
      </c>
      <c r="F239">
        <v>8500</v>
      </c>
      <c r="G239" s="2">
        <f t="shared" si="9"/>
        <v>85000</v>
      </c>
      <c r="H239" t="str">
        <f t="shared" si="10"/>
        <v>High</v>
      </c>
      <c r="I239" t="s">
        <v>14</v>
      </c>
      <c r="L239" t="s">
        <v>12</v>
      </c>
      <c r="M239" s="3">
        <f t="shared" si="11"/>
        <v>2865050</v>
      </c>
    </row>
    <row r="240" spans="1:13" ht="15.75" x14ac:dyDescent="0.3">
      <c r="A240" s="1">
        <v>45427</v>
      </c>
      <c r="B240" t="s">
        <v>26</v>
      </c>
      <c r="C240" t="s">
        <v>22</v>
      </c>
      <c r="D240" t="s">
        <v>10</v>
      </c>
      <c r="E240">
        <v>3</v>
      </c>
      <c r="F240">
        <v>3200</v>
      </c>
      <c r="G240" s="2">
        <f t="shared" si="9"/>
        <v>9600</v>
      </c>
      <c r="H240" t="str">
        <f t="shared" si="10"/>
        <v>Low</v>
      </c>
      <c r="I240" t="s">
        <v>14</v>
      </c>
      <c r="L240" t="s">
        <v>26</v>
      </c>
      <c r="M240" s="3">
        <f t="shared" si="11"/>
        <v>2430500</v>
      </c>
    </row>
    <row r="241" spans="1:13" ht="15.75" x14ac:dyDescent="0.3">
      <c r="A241" s="1">
        <v>45526</v>
      </c>
      <c r="B241" t="s">
        <v>19</v>
      </c>
      <c r="C241" t="s">
        <v>13</v>
      </c>
      <c r="D241" t="s">
        <v>18</v>
      </c>
      <c r="E241">
        <v>2</v>
      </c>
      <c r="F241">
        <v>300</v>
      </c>
      <c r="G241" s="2">
        <f t="shared" si="9"/>
        <v>600</v>
      </c>
      <c r="H241" t="str">
        <f t="shared" si="10"/>
        <v>Low</v>
      </c>
      <c r="I241" t="s">
        <v>8</v>
      </c>
      <c r="L241" t="s">
        <v>19</v>
      </c>
      <c r="M241" s="3">
        <f t="shared" si="11"/>
        <v>2179300</v>
      </c>
    </row>
    <row r="242" spans="1:13" ht="15.75" x14ac:dyDescent="0.3">
      <c r="A242" s="1">
        <v>45409</v>
      </c>
      <c r="B242" t="s">
        <v>23</v>
      </c>
      <c r="C242" t="s">
        <v>13</v>
      </c>
      <c r="D242" t="s">
        <v>17</v>
      </c>
      <c r="E242">
        <v>9</v>
      </c>
      <c r="F242">
        <v>3200</v>
      </c>
      <c r="G242" s="2">
        <f t="shared" si="9"/>
        <v>28800</v>
      </c>
      <c r="H242" t="str">
        <f t="shared" si="10"/>
        <v>High</v>
      </c>
      <c r="I242" t="s">
        <v>11</v>
      </c>
      <c r="L242" t="s">
        <v>23</v>
      </c>
      <c r="M242" s="3">
        <f t="shared" si="11"/>
        <v>2202100</v>
      </c>
    </row>
    <row r="243" spans="1:13" ht="15.75" x14ac:dyDescent="0.3">
      <c r="A243" s="1">
        <v>45465</v>
      </c>
      <c r="B243" t="s">
        <v>19</v>
      </c>
      <c r="C243" t="s">
        <v>22</v>
      </c>
      <c r="D243" t="s">
        <v>10</v>
      </c>
      <c r="E243">
        <v>6</v>
      </c>
      <c r="F243">
        <v>4500</v>
      </c>
      <c r="G243" s="2">
        <f t="shared" si="9"/>
        <v>27000</v>
      </c>
      <c r="H243" t="str">
        <f t="shared" si="10"/>
        <v>High</v>
      </c>
      <c r="I243" t="s">
        <v>11</v>
      </c>
      <c r="L243" t="s">
        <v>19</v>
      </c>
      <c r="M243" s="3">
        <f t="shared" si="11"/>
        <v>2179300</v>
      </c>
    </row>
    <row r="244" spans="1:13" ht="15.75" x14ac:dyDescent="0.3">
      <c r="A244" s="1">
        <v>45457</v>
      </c>
      <c r="B244" t="s">
        <v>12</v>
      </c>
      <c r="C244" t="s">
        <v>6</v>
      </c>
      <c r="D244" t="s">
        <v>20</v>
      </c>
      <c r="E244">
        <v>6</v>
      </c>
      <c r="F244">
        <v>300</v>
      </c>
      <c r="G244" s="2">
        <f t="shared" si="9"/>
        <v>1800</v>
      </c>
      <c r="H244" t="str">
        <f t="shared" si="10"/>
        <v>Low</v>
      </c>
      <c r="I244" t="s">
        <v>14</v>
      </c>
      <c r="L244" t="s">
        <v>12</v>
      </c>
      <c r="M244" s="3">
        <f t="shared" si="11"/>
        <v>2865050</v>
      </c>
    </row>
    <row r="245" spans="1:13" ht="15.75" x14ac:dyDescent="0.3">
      <c r="A245" s="1">
        <v>45360</v>
      </c>
      <c r="B245" t="s">
        <v>24</v>
      </c>
      <c r="C245" t="s">
        <v>16</v>
      </c>
      <c r="D245" t="s">
        <v>10</v>
      </c>
      <c r="E245">
        <v>10</v>
      </c>
      <c r="F245">
        <v>8500</v>
      </c>
      <c r="G245" s="2">
        <f t="shared" si="9"/>
        <v>85000</v>
      </c>
      <c r="H245" t="str">
        <f t="shared" si="10"/>
        <v>High</v>
      </c>
      <c r="I245" t="s">
        <v>8</v>
      </c>
      <c r="L245" t="s">
        <v>24</v>
      </c>
      <c r="M245" s="3">
        <f t="shared" si="11"/>
        <v>2514250</v>
      </c>
    </row>
    <row r="246" spans="1:13" ht="15.75" x14ac:dyDescent="0.3">
      <c r="A246" s="1">
        <v>45357</v>
      </c>
      <c r="B246" t="s">
        <v>15</v>
      </c>
      <c r="C246" t="s">
        <v>22</v>
      </c>
      <c r="D246" t="s">
        <v>20</v>
      </c>
      <c r="E246">
        <v>6</v>
      </c>
      <c r="F246">
        <v>300</v>
      </c>
      <c r="G246" s="2">
        <f t="shared" si="9"/>
        <v>1800</v>
      </c>
      <c r="H246" t="str">
        <f t="shared" si="10"/>
        <v>Low</v>
      </c>
      <c r="I246" t="s">
        <v>14</v>
      </c>
      <c r="L246" t="s">
        <v>15</v>
      </c>
      <c r="M246" s="3">
        <f t="shared" si="11"/>
        <v>2145050</v>
      </c>
    </row>
    <row r="247" spans="1:13" ht="15.75" x14ac:dyDescent="0.3">
      <c r="A247" s="1">
        <v>45651</v>
      </c>
      <c r="B247" t="s">
        <v>12</v>
      </c>
      <c r="C247" t="s">
        <v>16</v>
      </c>
      <c r="D247" t="s">
        <v>7</v>
      </c>
      <c r="E247">
        <v>4</v>
      </c>
      <c r="F247">
        <v>8500</v>
      </c>
      <c r="G247" s="2">
        <f t="shared" si="9"/>
        <v>34000</v>
      </c>
      <c r="H247" t="str">
        <f t="shared" si="10"/>
        <v>High</v>
      </c>
      <c r="I247" t="s">
        <v>11</v>
      </c>
      <c r="L247" t="s">
        <v>12</v>
      </c>
      <c r="M247" s="3">
        <f t="shared" si="11"/>
        <v>2865050</v>
      </c>
    </row>
    <row r="248" spans="1:13" ht="15.75" x14ac:dyDescent="0.3">
      <c r="A248" s="1">
        <v>45339</v>
      </c>
      <c r="B248" t="s">
        <v>25</v>
      </c>
      <c r="C248" t="s">
        <v>16</v>
      </c>
      <c r="D248" t="s">
        <v>17</v>
      </c>
      <c r="E248">
        <v>3</v>
      </c>
      <c r="F248">
        <v>150</v>
      </c>
      <c r="G248" s="2">
        <f t="shared" si="9"/>
        <v>450</v>
      </c>
      <c r="H248" t="str">
        <f t="shared" si="10"/>
        <v>Low</v>
      </c>
      <c r="I248" t="s">
        <v>11</v>
      </c>
      <c r="L248" t="s">
        <v>25</v>
      </c>
      <c r="M248" s="3">
        <f t="shared" si="11"/>
        <v>2243250</v>
      </c>
    </row>
    <row r="249" spans="1:13" ht="15.75" x14ac:dyDescent="0.3">
      <c r="A249" s="1">
        <v>45400</v>
      </c>
      <c r="B249" t="s">
        <v>26</v>
      </c>
      <c r="C249" t="s">
        <v>13</v>
      </c>
      <c r="D249" t="s">
        <v>18</v>
      </c>
      <c r="E249">
        <v>10</v>
      </c>
      <c r="F249">
        <v>4500</v>
      </c>
      <c r="G249" s="2">
        <f t="shared" si="9"/>
        <v>45000</v>
      </c>
      <c r="H249" t="str">
        <f t="shared" si="10"/>
        <v>High</v>
      </c>
      <c r="I249" t="s">
        <v>14</v>
      </c>
      <c r="L249" t="s">
        <v>26</v>
      </c>
      <c r="M249" s="3">
        <f t="shared" si="11"/>
        <v>2430500</v>
      </c>
    </row>
    <row r="250" spans="1:13" ht="15.75" x14ac:dyDescent="0.3">
      <c r="A250" s="1">
        <v>45294</v>
      </c>
      <c r="B250" t="s">
        <v>25</v>
      </c>
      <c r="C250" t="s">
        <v>6</v>
      </c>
      <c r="D250" t="s">
        <v>7</v>
      </c>
      <c r="E250">
        <v>4</v>
      </c>
      <c r="F250">
        <v>3200</v>
      </c>
      <c r="G250" s="2">
        <f t="shared" si="9"/>
        <v>12800</v>
      </c>
      <c r="H250" t="str">
        <f t="shared" si="10"/>
        <v>High</v>
      </c>
      <c r="I250" t="s">
        <v>8</v>
      </c>
      <c r="L250" t="s">
        <v>25</v>
      </c>
      <c r="M250" s="3">
        <f t="shared" si="11"/>
        <v>2243250</v>
      </c>
    </row>
    <row r="251" spans="1:13" ht="15.75" x14ac:dyDescent="0.3">
      <c r="A251" s="1">
        <v>45368</v>
      </c>
      <c r="B251" t="s">
        <v>19</v>
      </c>
      <c r="C251" t="s">
        <v>21</v>
      </c>
      <c r="D251" t="s">
        <v>7</v>
      </c>
      <c r="E251">
        <v>7</v>
      </c>
      <c r="F251">
        <v>150</v>
      </c>
      <c r="G251" s="2">
        <f t="shared" si="9"/>
        <v>1050</v>
      </c>
      <c r="H251" t="str">
        <f t="shared" si="10"/>
        <v>Low</v>
      </c>
      <c r="I251" t="s">
        <v>14</v>
      </c>
      <c r="L251" t="s">
        <v>19</v>
      </c>
      <c r="M251" s="3">
        <f t="shared" si="11"/>
        <v>2179300</v>
      </c>
    </row>
    <row r="252" spans="1:13" ht="15.75" x14ac:dyDescent="0.3">
      <c r="A252" s="1">
        <v>45584</v>
      </c>
      <c r="B252" t="s">
        <v>15</v>
      </c>
      <c r="C252" t="s">
        <v>22</v>
      </c>
      <c r="D252" t="s">
        <v>17</v>
      </c>
      <c r="E252">
        <v>2</v>
      </c>
      <c r="F252">
        <v>150</v>
      </c>
      <c r="G252" s="2">
        <f t="shared" si="9"/>
        <v>300</v>
      </c>
      <c r="H252" t="str">
        <f t="shared" si="10"/>
        <v>Low</v>
      </c>
      <c r="I252" t="s">
        <v>8</v>
      </c>
      <c r="L252" t="s">
        <v>15</v>
      </c>
      <c r="M252" s="3">
        <f t="shared" si="11"/>
        <v>2145050</v>
      </c>
    </row>
    <row r="253" spans="1:13" ht="15.75" x14ac:dyDescent="0.3">
      <c r="A253" s="1">
        <v>45364</v>
      </c>
      <c r="B253" t="s">
        <v>24</v>
      </c>
      <c r="C253" t="s">
        <v>21</v>
      </c>
      <c r="D253" t="s">
        <v>20</v>
      </c>
      <c r="E253">
        <v>9</v>
      </c>
      <c r="F253">
        <v>4500</v>
      </c>
      <c r="G253" s="2">
        <f t="shared" si="9"/>
        <v>40500</v>
      </c>
      <c r="H253" t="str">
        <f t="shared" si="10"/>
        <v>High</v>
      </c>
      <c r="I253" t="s">
        <v>14</v>
      </c>
      <c r="L253" t="s">
        <v>24</v>
      </c>
      <c r="M253" s="3">
        <f t="shared" si="11"/>
        <v>2514250</v>
      </c>
    </row>
    <row r="254" spans="1:13" ht="15.75" x14ac:dyDescent="0.3">
      <c r="A254" s="1">
        <v>45563</v>
      </c>
      <c r="B254" t="s">
        <v>24</v>
      </c>
      <c r="C254" t="s">
        <v>16</v>
      </c>
      <c r="D254" t="s">
        <v>18</v>
      </c>
      <c r="E254">
        <v>10</v>
      </c>
      <c r="F254">
        <v>8500</v>
      </c>
      <c r="G254" s="2">
        <f t="shared" si="9"/>
        <v>85000</v>
      </c>
      <c r="H254" t="str">
        <f t="shared" si="10"/>
        <v>High</v>
      </c>
      <c r="I254" t="s">
        <v>8</v>
      </c>
      <c r="L254" t="s">
        <v>24</v>
      </c>
      <c r="M254" s="3">
        <f t="shared" si="11"/>
        <v>2514250</v>
      </c>
    </row>
    <row r="255" spans="1:13" ht="15.75" x14ac:dyDescent="0.3">
      <c r="A255" s="1">
        <v>45363</v>
      </c>
      <c r="B255" t="s">
        <v>9</v>
      </c>
      <c r="C255" t="s">
        <v>16</v>
      </c>
      <c r="D255" t="s">
        <v>18</v>
      </c>
      <c r="E255">
        <v>5</v>
      </c>
      <c r="F255">
        <v>3200</v>
      </c>
      <c r="G255" s="2">
        <f t="shared" si="9"/>
        <v>16000</v>
      </c>
      <c r="H255" t="str">
        <f t="shared" si="10"/>
        <v>High</v>
      </c>
      <c r="I255" t="s">
        <v>8</v>
      </c>
      <c r="L255" t="s">
        <v>9</v>
      </c>
      <c r="M255" s="3">
        <f t="shared" si="11"/>
        <v>1849750</v>
      </c>
    </row>
    <row r="256" spans="1:13" ht="15.75" x14ac:dyDescent="0.3">
      <c r="A256" s="1">
        <v>45508</v>
      </c>
      <c r="B256" t="s">
        <v>19</v>
      </c>
      <c r="C256" t="s">
        <v>22</v>
      </c>
      <c r="D256" t="s">
        <v>20</v>
      </c>
      <c r="E256">
        <v>7</v>
      </c>
      <c r="F256">
        <v>3200</v>
      </c>
      <c r="G256" s="2">
        <f t="shared" si="9"/>
        <v>22400</v>
      </c>
      <c r="H256" t="str">
        <f t="shared" si="10"/>
        <v>High</v>
      </c>
      <c r="I256" t="s">
        <v>11</v>
      </c>
      <c r="L256" t="s">
        <v>19</v>
      </c>
      <c r="M256" s="3">
        <f t="shared" si="11"/>
        <v>2179300</v>
      </c>
    </row>
    <row r="257" spans="1:13" ht="15.75" x14ac:dyDescent="0.3">
      <c r="A257" s="1">
        <v>45648</v>
      </c>
      <c r="B257" t="s">
        <v>19</v>
      </c>
      <c r="C257" t="s">
        <v>22</v>
      </c>
      <c r="D257" t="s">
        <v>7</v>
      </c>
      <c r="E257">
        <v>5</v>
      </c>
      <c r="F257">
        <v>8500</v>
      </c>
      <c r="G257" s="2">
        <f t="shared" si="9"/>
        <v>42500</v>
      </c>
      <c r="H257" t="str">
        <f t="shared" si="10"/>
        <v>High</v>
      </c>
      <c r="I257" t="s">
        <v>11</v>
      </c>
      <c r="L257" t="s">
        <v>19</v>
      </c>
      <c r="M257" s="3">
        <f t="shared" si="11"/>
        <v>2179300</v>
      </c>
    </row>
    <row r="258" spans="1:13" ht="15.75" x14ac:dyDescent="0.3">
      <c r="A258" s="1">
        <v>45641</v>
      </c>
      <c r="B258" t="s">
        <v>12</v>
      </c>
      <c r="C258" t="s">
        <v>22</v>
      </c>
      <c r="D258" t="s">
        <v>18</v>
      </c>
      <c r="E258">
        <v>4</v>
      </c>
      <c r="F258">
        <v>150</v>
      </c>
      <c r="G258" s="2">
        <f t="shared" si="9"/>
        <v>600</v>
      </c>
      <c r="H258" t="str">
        <f t="shared" si="10"/>
        <v>Low</v>
      </c>
      <c r="I258" t="s">
        <v>11</v>
      </c>
      <c r="L258" t="s">
        <v>12</v>
      </c>
      <c r="M258" s="3">
        <f t="shared" si="11"/>
        <v>2865050</v>
      </c>
    </row>
    <row r="259" spans="1:13" ht="15.75" x14ac:dyDescent="0.3">
      <c r="A259" s="1">
        <v>45460</v>
      </c>
      <c r="B259" t="s">
        <v>26</v>
      </c>
      <c r="C259" t="s">
        <v>21</v>
      </c>
      <c r="D259" t="s">
        <v>7</v>
      </c>
      <c r="E259">
        <v>7</v>
      </c>
      <c r="F259">
        <v>3200</v>
      </c>
      <c r="G259" s="2">
        <f t="shared" ref="G259:G322" si="12">E259*F259</f>
        <v>22400</v>
      </c>
      <c r="H259" t="str">
        <f t="shared" ref="H259:H322" si="13">IF(G259&gt;=10000,"High","Low")</f>
        <v>High</v>
      </c>
      <c r="I259" t="s">
        <v>11</v>
      </c>
      <c r="L259" t="s">
        <v>26</v>
      </c>
      <c r="M259" s="3">
        <f t="shared" ref="M259:M322" si="14">SUMIF(B:B,L259,G:G)</f>
        <v>2430500</v>
      </c>
    </row>
    <row r="260" spans="1:13" ht="15.75" x14ac:dyDescent="0.3">
      <c r="A260" s="1">
        <v>45470</v>
      </c>
      <c r="B260" t="s">
        <v>24</v>
      </c>
      <c r="C260" t="s">
        <v>13</v>
      </c>
      <c r="D260" t="s">
        <v>20</v>
      </c>
      <c r="E260">
        <v>8</v>
      </c>
      <c r="F260">
        <v>150</v>
      </c>
      <c r="G260" s="2">
        <f t="shared" si="12"/>
        <v>1200</v>
      </c>
      <c r="H260" t="str">
        <f t="shared" si="13"/>
        <v>Low</v>
      </c>
      <c r="I260" t="s">
        <v>8</v>
      </c>
      <c r="L260" t="s">
        <v>24</v>
      </c>
      <c r="M260" s="3">
        <f t="shared" si="14"/>
        <v>2514250</v>
      </c>
    </row>
    <row r="261" spans="1:13" ht="15.75" x14ac:dyDescent="0.3">
      <c r="A261" s="1">
        <v>45498</v>
      </c>
      <c r="B261" t="s">
        <v>9</v>
      </c>
      <c r="C261" t="s">
        <v>13</v>
      </c>
      <c r="D261" t="s">
        <v>20</v>
      </c>
      <c r="E261">
        <v>6</v>
      </c>
      <c r="F261">
        <v>8500</v>
      </c>
      <c r="G261" s="2">
        <f t="shared" si="12"/>
        <v>51000</v>
      </c>
      <c r="H261" t="str">
        <f t="shared" si="13"/>
        <v>High</v>
      </c>
      <c r="I261" t="s">
        <v>8</v>
      </c>
      <c r="L261" t="s">
        <v>9</v>
      </c>
      <c r="M261" s="3">
        <f t="shared" si="14"/>
        <v>1849750</v>
      </c>
    </row>
    <row r="262" spans="1:13" ht="15.75" x14ac:dyDescent="0.3">
      <c r="A262" s="1">
        <v>45344</v>
      </c>
      <c r="B262" t="s">
        <v>12</v>
      </c>
      <c r="C262" t="s">
        <v>22</v>
      </c>
      <c r="D262" t="s">
        <v>7</v>
      </c>
      <c r="E262">
        <v>7</v>
      </c>
      <c r="F262">
        <v>8500</v>
      </c>
      <c r="G262" s="2">
        <f t="shared" si="12"/>
        <v>59500</v>
      </c>
      <c r="H262" t="str">
        <f t="shared" si="13"/>
        <v>High</v>
      </c>
      <c r="I262" t="s">
        <v>14</v>
      </c>
      <c r="L262" t="s">
        <v>12</v>
      </c>
      <c r="M262" s="3">
        <f t="shared" si="14"/>
        <v>2865050</v>
      </c>
    </row>
    <row r="263" spans="1:13" ht="15.75" x14ac:dyDescent="0.3">
      <c r="A263" s="1">
        <v>45585</v>
      </c>
      <c r="B263" t="s">
        <v>12</v>
      </c>
      <c r="C263" t="s">
        <v>13</v>
      </c>
      <c r="D263" t="s">
        <v>7</v>
      </c>
      <c r="E263">
        <v>1</v>
      </c>
      <c r="F263">
        <v>150</v>
      </c>
      <c r="G263" s="2">
        <f t="shared" si="12"/>
        <v>150</v>
      </c>
      <c r="H263" t="str">
        <f t="shared" si="13"/>
        <v>Low</v>
      </c>
      <c r="I263" t="s">
        <v>8</v>
      </c>
      <c r="L263" t="s">
        <v>12</v>
      </c>
      <c r="M263" s="3">
        <f t="shared" si="14"/>
        <v>2865050</v>
      </c>
    </row>
    <row r="264" spans="1:13" ht="15.75" x14ac:dyDescent="0.3">
      <c r="A264" s="1">
        <v>45341</v>
      </c>
      <c r="B264" t="s">
        <v>19</v>
      </c>
      <c r="C264" t="s">
        <v>13</v>
      </c>
      <c r="D264" t="s">
        <v>7</v>
      </c>
      <c r="E264">
        <v>4</v>
      </c>
      <c r="F264">
        <v>150</v>
      </c>
      <c r="G264" s="2">
        <f t="shared" si="12"/>
        <v>600</v>
      </c>
      <c r="H264" t="str">
        <f t="shared" si="13"/>
        <v>Low</v>
      </c>
      <c r="I264" t="s">
        <v>14</v>
      </c>
      <c r="L264" t="s">
        <v>19</v>
      </c>
      <c r="M264" s="3">
        <f t="shared" si="14"/>
        <v>2179300</v>
      </c>
    </row>
    <row r="265" spans="1:13" ht="15.75" x14ac:dyDescent="0.3">
      <c r="A265" s="1">
        <v>45355</v>
      </c>
      <c r="B265" t="s">
        <v>23</v>
      </c>
      <c r="C265" t="s">
        <v>21</v>
      </c>
      <c r="D265" t="s">
        <v>20</v>
      </c>
      <c r="E265">
        <v>5</v>
      </c>
      <c r="F265">
        <v>150</v>
      </c>
      <c r="G265" s="2">
        <f t="shared" si="12"/>
        <v>750</v>
      </c>
      <c r="H265" t="str">
        <f t="shared" si="13"/>
        <v>Low</v>
      </c>
      <c r="I265" t="s">
        <v>14</v>
      </c>
      <c r="L265" t="s">
        <v>23</v>
      </c>
      <c r="M265" s="3">
        <f t="shared" si="14"/>
        <v>2202100</v>
      </c>
    </row>
    <row r="266" spans="1:13" ht="15.75" x14ac:dyDescent="0.3">
      <c r="A266" s="1">
        <v>45498</v>
      </c>
      <c r="B266" t="s">
        <v>12</v>
      </c>
      <c r="C266" t="s">
        <v>22</v>
      </c>
      <c r="D266" t="s">
        <v>17</v>
      </c>
      <c r="E266">
        <v>7</v>
      </c>
      <c r="F266">
        <v>8500</v>
      </c>
      <c r="G266" s="2">
        <f t="shared" si="12"/>
        <v>59500</v>
      </c>
      <c r="H266" t="str">
        <f t="shared" si="13"/>
        <v>High</v>
      </c>
      <c r="I266" t="s">
        <v>8</v>
      </c>
      <c r="L266" t="s">
        <v>12</v>
      </c>
      <c r="M266" s="3">
        <f t="shared" si="14"/>
        <v>2865050</v>
      </c>
    </row>
    <row r="267" spans="1:13" ht="15.75" x14ac:dyDescent="0.3">
      <c r="A267" s="1">
        <v>45532</v>
      </c>
      <c r="B267" t="s">
        <v>9</v>
      </c>
      <c r="C267" t="s">
        <v>16</v>
      </c>
      <c r="D267" t="s">
        <v>7</v>
      </c>
      <c r="E267">
        <v>8</v>
      </c>
      <c r="F267">
        <v>4500</v>
      </c>
      <c r="G267" s="2">
        <f t="shared" si="12"/>
        <v>36000</v>
      </c>
      <c r="H267" t="str">
        <f t="shared" si="13"/>
        <v>High</v>
      </c>
      <c r="I267" t="s">
        <v>11</v>
      </c>
      <c r="L267" t="s">
        <v>9</v>
      </c>
      <c r="M267" s="3">
        <f t="shared" si="14"/>
        <v>1849750</v>
      </c>
    </row>
    <row r="268" spans="1:13" ht="15.75" x14ac:dyDescent="0.3">
      <c r="A268" s="1">
        <v>45330</v>
      </c>
      <c r="B268" t="s">
        <v>9</v>
      </c>
      <c r="C268" t="s">
        <v>6</v>
      </c>
      <c r="D268" t="s">
        <v>10</v>
      </c>
      <c r="E268">
        <v>4</v>
      </c>
      <c r="F268">
        <v>150</v>
      </c>
      <c r="G268" s="2">
        <f t="shared" si="12"/>
        <v>600</v>
      </c>
      <c r="H268" t="str">
        <f t="shared" si="13"/>
        <v>Low</v>
      </c>
      <c r="I268" t="s">
        <v>11</v>
      </c>
      <c r="L268" t="s">
        <v>9</v>
      </c>
      <c r="M268" s="3">
        <f t="shared" si="14"/>
        <v>1849750</v>
      </c>
    </row>
    <row r="269" spans="1:13" ht="15.75" x14ac:dyDescent="0.3">
      <c r="A269" s="1">
        <v>45610</v>
      </c>
      <c r="B269" t="s">
        <v>12</v>
      </c>
      <c r="C269" t="s">
        <v>16</v>
      </c>
      <c r="D269" t="s">
        <v>7</v>
      </c>
      <c r="E269">
        <v>1</v>
      </c>
      <c r="F269">
        <v>300</v>
      </c>
      <c r="G269" s="2">
        <f t="shared" si="12"/>
        <v>300</v>
      </c>
      <c r="H269" t="str">
        <f t="shared" si="13"/>
        <v>Low</v>
      </c>
      <c r="I269" t="s">
        <v>14</v>
      </c>
      <c r="L269" t="s">
        <v>12</v>
      </c>
      <c r="M269" s="3">
        <f t="shared" si="14"/>
        <v>2865050</v>
      </c>
    </row>
    <row r="270" spans="1:13" ht="15.75" x14ac:dyDescent="0.3">
      <c r="A270" s="1">
        <v>45409</v>
      </c>
      <c r="B270" t="s">
        <v>23</v>
      </c>
      <c r="C270" t="s">
        <v>16</v>
      </c>
      <c r="D270" t="s">
        <v>7</v>
      </c>
      <c r="E270">
        <v>2</v>
      </c>
      <c r="F270">
        <v>150</v>
      </c>
      <c r="G270" s="2">
        <f t="shared" si="12"/>
        <v>300</v>
      </c>
      <c r="H270" t="str">
        <f t="shared" si="13"/>
        <v>Low</v>
      </c>
      <c r="I270" t="s">
        <v>8</v>
      </c>
      <c r="L270" t="s">
        <v>23</v>
      </c>
      <c r="M270" s="3">
        <f t="shared" si="14"/>
        <v>2202100</v>
      </c>
    </row>
    <row r="271" spans="1:13" ht="15.75" x14ac:dyDescent="0.3">
      <c r="A271" s="1">
        <v>45449</v>
      </c>
      <c r="B271" t="s">
        <v>26</v>
      </c>
      <c r="C271" t="s">
        <v>13</v>
      </c>
      <c r="D271" t="s">
        <v>7</v>
      </c>
      <c r="E271">
        <v>7</v>
      </c>
      <c r="F271">
        <v>150</v>
      </c>
      <c r="G271" s="2">
        <f t="shared" si="12"/>
        <v>1050</v>
      </c>
      <c r="H271" t="str">
        <f t="shared" si="13"/>
        <v>Low</v>
      </c>
      <c r="I271" t="s">
        <v>8</v>
      </c>
      <c r="L271" t="s">
        <v>26</v>
      </c>
      <c r="M271" s="3">
        <f t="shared" si="14"/>
        <v>2430500</v>
      </c>
    </row>
    <row r="272" spans="1:13" ht="15.75" x14ac:dyDescent="0.3">
      <c r="A272" s="1">
        <v>45516</v>
      </c>
      <c r="B272" t="s">
        <v>23</v>
      </c>
      <c r="C272" t="s">
        <v>22</v>
      </c>
      <c r="D272" t="s">
        <v>20</v>
      </c>
      <c r="E272">
        <v>10</v>
      </c>
      <c r="F272">
        <v>150</v>
      </c>
      <c r="G272" s="2">
        <f t="shared" si="12"/>
        <v>1500</v>
      </c>
      <c r="H272" t="str">
        <f t="shared" si="13"/>
        <v>Low</v>
      </c>
      <c r="I272" t="s">
        <v>8</v>
      </c>
      <c r="L272" t="s">
        <v>23</v>
      </c>
      <c r="M272" s="3">
        <f t="shared" si="14"/>
        <v>2202100</v>
      </c>
    </row>
    <row r="273" spans="1:13" ht="15.75" x14ac:dyDescent="0.3">
      <c r="A273" s="1">
        <v>45411</v>
      </c>
      <c r="B273" t="s">
        <v>19</v>
      </c>
      <c r="C273" t="s">
        <v>21</v>
      </c>
      <c r="D273" t="s">
        <v>17</v>
      </c>
      <c r="E273">
        <v>10</v>
      </c>
      <c r="F273">
        <v>8500</v>
      </c>
      <c r="G273" s="2">
        <f t="shared" si="12"/>
        <v>85000</v>
      </c>
      <c r="H273" t="str">
        <f t="shared" si="13"/>
        <v>High</v>
      </c>
      <c r="I273" t="s">
        <v>11</v>
      </c>
      <c r="L273" t="s">
        <v>19</v>
      </c>
      <c r="M273" s="3">
        <f t="shared" si="14"/>
        <v>2179300</v>
      </c>
    </row>
    <row r="274" spans="1:13" ht="15.75" x14ac:dyDescent="0.3">
      <c r="A274" s="1">
        <v>45444</v>
      </c>
      <c r="B274" t="s">
        <v>25</v>
      </c>
      <c r="C274" t="s">
        <v>13</v>
      </c>
      <c r="D274" t="s">
        <v>10</v>
      </c>
      <c r="E274">
        <v>1</v>
      </c>
      <c r="F274">
        <v>4500</v>
      </c>
      <c r="G274" s="2">
        <f t="shared" si="12"/>
        <v>4500</v>
      </c>
      <c r="H274" t="str">
        <f t="shared" si="13"/>
        <v>Low</v>
      </c>
      <c r="I274" t="s">
        <v>11</v>
      </c>
      <c r="L274" t="s">
        <v>25</v>
      </c>
      <c r="M274" s="3">
        <f t="shared" si="14"/>
        <v>2243250</v>
      </c>
    </row>
    <row r="275" spans="1:13" ht="15.75" x14ac:dyDescent="0.3">
      <c r="A275" s="1">
        <v>45460</v>
      </c>
      <c r="B275" t="s">
        <v>24</v>
      </c>
      <c r="C275" t="s">
        <v>22</v>
      </c>
      <c r="D275" t="s">
        <v>20</v>
      </c>
      <c r="E275">
        <v>8</v>
      </c>
      <c r="F275">
        <v>300</v>
      </c>
      <c r="G275" s="2">
        <f t="shared" si="12"/>
        <v>2400</v>
      </c>
      <c r="H275" t="str">
        <f t="shared" si="13"/>
        <v>Low</v>
      </c>
      <c r="I275" t="s">
        <v>8</v>
      </c>
      <c r="L275" t="s">
        <v>24</v>
      </c>
      <c r="M275" s="3">
        <f t="shared" si="14"/>
        <v>2514250</v>
      </c>
    </row>
    <row r="276" spans="1:13" ht="15.75" x14ac:dyDescent="0.3">
      <c r="A276" s="1">
        <v>45298</v>
      </c>
      <c r="B276" t="s">
        <v>26</v>
      </c>
      <c r="C276" t="s">
        <v>6</v>
      </c>
      <c r="D276" t="s">
        <v>20</v>
      </c>
      <c r="E276">
        <v>4</v>
      </c>
      <c r="F276">
        <v>8500</v>
      </c>
      <c r="G276" s="2">
        <f t="shared" si="12"/>
        <v>34000</v>
      </c>
      <c r="H276" t="str">
        <f t="shared" si="13"/>
        <v>High</v>
      </c>
      <c r="I276" t="s">
        <v>11</v>
      </c>
      <c r="L276" t="s">
        <v>26</v>
      </c>
      <c r="M276" s="3">
        <f t="shared" si="14"/>
        <v>2430500</v>
      </c>
    </row>
    <row r="277" spans="1:13" ht="15.75" x14ac:dyDescent="0.3">
      <c r="A277" s="1">
        <v>45646</v>
      </c>
      <c r="B277" t="s">
        <v>24</v>
      </c>
      <c r="C277" t="s">
        <v>6</v>
      </c>
      <c r="D277" t="s">
        <v>18</v>
      </c>
      <c r="E277">
        <v>2</v>
      </c>
      <c r="F277">
        <v>8500</v>
      </c>
      <c r="G277" s="2">
        <f t="shared" si="12"/>
        <v>17000</v>
      </c>
      <c r="H277" t="str">
        <f t="shared" si="13"/>
        <v>High</v>
      </c>
      <c r="I277" t="s">
        <v>14</v>
      </c>
      <c r="L277" t="s">
        <v>24</v>
      </c>
      <c r="M277" s="3">
        <f t="shared" si="14"/>
        <v>2514250</v>
      </c>
    </row>
    <row r="278" spans="1:13" ht="15.75" x14ac:dyDescent="0.3">
      <c r="A278" s="1">
        <v>45324</v>
      </c>
      <c r="B278" t="s">
        <v>19</v>
      </c>
      <c r="C278" t="s">
        <v>16</v>
      </c>
      <c r="D278" t="s">
        <v>18</v>
      </c>
      <c r="E278">
        <v>4</v>
      </c>
      <c r="F278">
        <v>3200</v>
      </c>
      <c r="G278" s="2">
        <f t="shared" si="12"/>
        <v>12800</v>
      </c>
      <c r="H278" t="str">
        <f t="shared" si="13"/>
        <v>High</v>
      </c>
      <c r="I278" t="s">
        <v>14</v>
      </c>
      <c r="L278" t="s">
        <v>19</v>
      </c>
      <c r="M278" s="3">
        <f t="shared" si="14"/>
        <v>2179300</v>
      </c>
    </row>
    <row r="279" spans="1:13" ht="15.75" x14ac:dyDescent="0.3">
      <c r="A279" s="1">
        <v>45304</v>
      </c>
      <c r="B279" t="s">
        <v>15</v>
      </c>
      <c r="C279" t="s">
        <v>21</v>
      </c>
      <c r="D279" t="s">
        <v>7</v>
      </c>
      <c r="E279">
        <v>8</v>
      </c>
      <c r="F279">
        <v>3200</v>
      </c>
      <c r="G279" s="2">
        <f t="shared" si="12"/>
        <v>25600</v>
      </c>
      <c r="H279" t="str">
        <f t="shared" si="13"/>
        <v>High</v>
      </c>
      <c r="I279" t="s">
        <v>14</v>
      </c>
      <c r="L279" t="s">
        <v>15</v>
      </c>
      <c r="M279" s="3">
        <f t="shared" si="14"/>
        <v>2145050</v>
      </c>
    </row>
    <row r="280" spans="1:13" ht="15.75" x14ac:dyDescent="0.3">
      <c r="A280" s="1">
        <v>45605</v>
      </c>
      <c r="B280" t="s">
        <v>24</v>
      </c>
      <c r="C280" t="s">
        <v>21</v>
      </c>
      <c r="D280" t="s">
        <v>18</v>
      </c>
      <c r="E280">
        <v>6</v>
      </c>
      <c r="F280">
        <v>150</v>
      </c>
      <c r="G280" s="2">
        <f t="shared" si="12"/>
        <v>900</v>
      </c>
      <c r="H280" t="str">
        <f t="shared" si="13"/>
        <v>Low</v>
      </c>
      <c r="I280" t="s">
        <v>14</v>
      </c>
      <c r="L280" t="s">
        <v>24</v>
      </c>
      <c r="M280" s="3">
        <f t="shared" si="14"/>
        <v>2514250</v>
      </c>
    </row>
    <row r="281" spans="1:13" ht="15.75" x14ac:dyDescent="0.3">
      <c r="A281" s="1">
        <v>45605</v>
      </c>
      <c r="B281" t="s">
        <v>26</v>
      </c>
      <c r="C281" t="s">
        <v>21</v>
      </c>
      <c r="D281" t="s">
        <v>20</v>
      </c>
      <c r="E281">
        <v>8</v>
      </c>
      <c r="F281">
        <v>3200</v>
      </c>
      <c r="G281" s="2">
        <f t="shared" si="12"/>
        <v>25600</v>
      </c>
      <c r="H281" t="str">
        <f t="shared" si="13"/>
        <v>High</v>
      </c>
      <c r="I281" t="s">
        <v>14</v>
      </c>
      <c r="L281" t="s">
        <v>26</v>
      </c>
      <c r="M281" s="3">
        <f t="shared" si="14"/>
        <v>2430500</v>
      </c>
    </row>
    <row r="282" spans="1:13" ht="15.75" x14ac:dyDescent="0.3">
      <c r="A282" s="1">
        <v>45392</v>
      </c>
      <c r="B282" t="s">
        <v>23</v>
      </c>
      <c r="C282" t="s">
        <v>21</v>
      </c>
      <c r="D282" t="s">
        <v>18</v>
      </c>
      <c r="E282">
        <v>1</v>
      </c>
      <c r="F282">
        <v>8500</v>
      </c>
      <c r="G282" s="2">
        <f t="shared" si="12"/>
        <v>8500</v>
      </c>
      <c r="H282" t="str">
        <f t="shared" si="13"/>
        <v>Low</v>
      </c>
      <c r="I282" t="s">
        <v>11</v>
      </c>
      <c r="L282" t="s">
        <v>23</v>
      </c>
      <c r="M282" s="3">
        <f t="shared" si="14"/>
        <v>2202100</v>
      </c>
    </row>
    <row r="283" spans="1:13" ht="15.75" x14ac:dyDescent="0.3">
      <c r="A283" s="1">
        <v>45554</v>
      </c>
      <c r="B283" t="s">
        <v>23</v>
      </c>
      <c r="C283" t="s">
        <v>16</v>
      </c>
      <c r="D283" t="s">
        <v>10</v>
      </c>
      <c r="E283">
        <v>2</v>
      </c>
      <c r="F283">
        <v>3200</v>
      </c>
      <c r="G283" s="2">
        <f t="shared" si="12"/>
        <v>6400</v>
      </c>
      <c r="H283" t="str">
        <f t="shared" si="13"/>
        <v>Low</v>
      </c>
      <c r="I283" t="s">
        <v>11</v>
      </c>
      <c r="L283" t="s">
        <v>23</v>
      </c>
      <c r="M283" s="3">
        <f t="shared" si="14"/>
        <v>2202100</v>
      </c>
    </row>
    <row r="284" spans="1:13" ht="15.75" x14ac:dyDescent="0.3">
      <c r="A284" s="1">
        <v>45502</v>
      </c>
      <c r="B284" t="s">
        <v>24</v>
      </c>
      <c r="C284" t="s">
        <v>13</v>
      </c>
      <c r="D284" t="s">
        <v>10</v>
      </c>
      <c r="E284">
        <v>8</v>
      </c>
      <c r="F284">
        <v>300</v>
      </c>
      <c r="G284" s="2">
        <f t="shared" si="12"/>
        <v>2400</v>
      </c>
      <c r="H284" t="str">
        <f t="shared" si="13"/>
        <v>Low</v>
      </c>
      <c r="I284" t="s">
        <v>11</v>
      </c>
      <c r="L284" t="s">
        <v>24</v>
      </c>
      <c r="M284" s="3">
        <f t="shared" si="14"/>
        <v>2514250</v>
      </c>
    </row>
    <row r="285" spans="1:13" ht="15.75" x14ac:dyDescent="0.3">
      <c r="A285" s="1">
        <v>45380</v>
      </c>
      <c r="B285" t="s">
        <v>24</v>
      </c>
      <c r="C285" t="s">
        <v>21</v>
      </c>
      <c r="D285" t="s">
        <v>20</v>
      </c>
      <c r="E285">
        <v>9</v>
      </c>
      <c r="F285">
        <v>300</v>
      </c>
      <c r="G285" s="2">
        <f t="shared" si="12"/>
        <v>2700</v>
      </c>
      <c r="H285" t="str">
        <f t="shared" si="13"/>
        <v>Low</v>
      </c>
      <c r="I285" t="s">
        <v>11</v>
      </c>
      <c r="L285" t="s">
        <v>24</v>
      </c>
      <c r="M285" s="3">
        <f t="shared" si="14"/>
        <v>2514250</v>
      </c>
    </row>
    <row r="286" spans="1:13" ht="15.75" x14ac:dyDescent="0.3">
      <c r="A286" s="1">
        <v>45379</v>
      </c>
      <c r="B286" t="s">
        <v>24</v>
      </c>
      <c r="C286" t="s">
        <v>6</v>
      </c>
      <c r="D286" t="s">
        <v>20</v>
      </c>
      <c r="E286">
        <v>2</v>
      </c>
      <c r="F286">
        <v>8500</v>
      </c>
      <c r="G286" s="2">
        <f t="shared" si="12"/>
        <v>17000</v>
      </c>
      <c r="H286" t="str">
        <f t="shared" si="13"/>
        <v>High</v>
      </c>
      <c r="I286" t="s">
        <v>8</v>
      </c>
      <c r="L286" t="s">
        <v>24</v>
      </c>
      <c r="M286" s="3">
        <f t="shared" si="14"/>
        <v>2514250</v>
      </c>
    </row>
    <row r="287" spans="1:13" ht="15.75" x14ac:dyDescent="0.3">
      <c r="A287" s="1">
        <v>45448</v>
      </c>
      <c r="B287" t="s">
        <v>26</v>
      </c>
      <c r="C287" t="s">
        <v>16</v>
      </c>
      <c r="D287" t="s">
        <v>17</v>
      </c>
      <c r="E287">
        <v>2</v>
      </c>
      <c r="F287">
        <v>8500</v>
      </c>
      <c r="G287" s="2">
        <f t="shared" si="12"/>
        <v>17000</v>
      </c>
      <c r="H287" t="str">
        <f t="shared" si="13"/>
        <v>High</v>
      </c>
      <c r="I287" t="s">
        <v>11</v>
      </c>
      <c r="L287" t="s">
        <v>26</v>
      </c>
      <c r="M287" s="3">
        <f t="shared" si="14"/>
        <v>2430500</v>
      </c>
    </row>
    <row r="288" spans="1:13" ht="15.75" x14ac:dyDescent="0.3">
      <c r="A288" s="1">
        <v>45600</v>
      </c>
      <c r="B288" t="s">
        <v>25</v>
      </c>
      <c r="C288" t="s">
        <v>21</v>
      </c>
      <c r="D288" t="s">
        <v>7</v>
      </c>
      <c r="E288">
        <v>1</v>
      </c>
      <c r="F288">
        <v>4500</v>
      </c>
      <c r="G288" s="2">
        <f t="shared" si="12"/>
        <v>4500</v>
      </c>
      <c r="H288" t="str">
        <f t="shared" si="13"/>
        <v>Low</v>
      </c>
      <c r="I288" t="s">
        <v>8</v>
      </c>
      <c r="L288" t="s">
        <v>25</v>
      </c>
      <c r="M288" s="3">
        <f t="shared" si="14"/>
        <v>2243250</v>
      </c>
    </row>
    <row r="289" spans="1:13" ht="15.75" x14ac:dyDescent="0.3">
      <c r="A289" s="1">
        <v>45598</v>
      </c>
      <c r="B289" t="s">
        <v>26</v>
      </c>
      <c r="C289" t="s">
        <v>6</v>
      </c>
      <c r="D289" t="s">
        <v>17</v>
      </c>
      <c r="E289">
        <v>6</v>
      </c>
      <c r="F289">
        <v>150</v>
      </c>
      <c r="G289" s="2">
        <f t="shared" si="12"/>
        <v>900</v>
      </c>
      <c r="H289" t="str">
        <f t="shared" si="13"/>
        <v>Low</v>
      </c>
      <c r="I289" t="s">
        <v>8</v>
      </c>
      <c r="L289" t="s">
        <v>26</v>
      </c>
      <c r="M289" s="3">
        <f t="shared" si="14"/>
        <v>2430500</v>
      </c>
    </row>
    <row r="290" spans="1:13" ht="15.75" x14ac:dyDescent="0.3">
      <c r="A290" s="1">
        <v>45562</v>
      </c>
      <c r="B290" t="s">
        <v>19</v>
      </c>
      <c r="C290" t="s">
        <v>21</v>
      </c>
      <c r="D290" t="s">
        <v>7</v>
      </c>
      <c r="E290">
        <v>9</v>
      </c>
      <c r="F290">
        <v>4500</v>
      </c>
      <c r="G290" s="2">
        <f t="shared" si="12"/>
        <v>40500</v>
      </c>
      <c r="H290" t="str">
        <f t="shared" si="13"/>
        <v>High</v>
      </c>
      <c r="I290" t="s">
        <v>8</v>
      </c>
      <c r="L290" t="s">
        <v>19</v>
      </c>
      <c r="M290" s="3">
        <f t="shared" si="14"/>
        <v>2179300</v>
      </c>
    </row>
    <row r="291" spans="1:13" ht="15.75" x14ac:dyDescent="0.3">
      <c r="A291" s="1">
        <v>45400</v>
      </c>
      <c r="B291" t="s">
        <v>12</v>
      </c>
      <c r="C291" t="s">
        <v>16</v>
      </c>
      <c r="D291" t="s">
        <v>17</v>
      </c>
      <c r="E291">
        <v>2</v>
      </c>
      <c r="F291">
        <v>150</v>
      </c>
      <c r="G291" s="2">
        <f t="shared" si="12"/>
        <v>300</v>
      </c>
      <c r="H291" t="str">
        <f t="shared" si="13"/>
        <v>Low</v>
      </c>
      <c r="I291" t="s">
        <v>14</v>
      </c>
      <c r="L291" t="s">
        <v>12</v>
      </c>
      <c r="M291" s="3">
        <f t="shared" si="14"/>
        <v>2865050</v>
      </c>
    </row>
    <row r="292" spans="1:13" ht="15.75" x14ac:dyDescent="0.3">
      <c r="A292" s="1">
        <v>45643</v>
      </c>
      <c r="B292" t="s">
        <v>15</v>
      </c>
      <c r="C292" t="s">
        <v>21</v>
      </c>
      <c r="D292" t="s">
        <v>17</v>
      </c>
      <c r="E292">
        <v>1</v>
      </c>
      <c r="F292">
        <v>4500</v>
      </c>
      <c r="G292" s="2">
        <f t="shared" si="12"/>
        <v>4500</v>
      </c>
      <c r="H292" t="str">
        <f t="shared" si="13"/>
        <v>Low</v>
      </c>
      <c r="I292" t="s">
        <v>8</v>
      </c>
      <c r="L292" t="s">
        <v>15</v>
      </c>
      <c r="M292" s="3">
        <f t="shared" si="14"/>
        <v>2145050</v>
      </c>
    </row>
    <row r="293" spans="1:13" ht="15.75" x14ac:dyDescent="0.3">
      <c r="A293" s="1">
        <v>45448</v>
      </c>
      <c r="B293" t="s">
        <v>19</v>
      </c>
      <c r="C293" t="s">
        <v>6</v>
      </c>
      <c r="D293" t="s">
        <v>20</v>
      </c>
      <c r="E293">
        <v>4</v>
      </c>
      <c r="F293">
        <v>4500</v>
      </c>
      <c r="G293" s="2">
        <f t="shared" si="12"/>
        <v>18000</v>
      </c>
      <c r="H293" t="str">
        <f t="shared" si="13"/>
        <v>High</v>
      </c>
      <c r="I293" t="s">
        <v>11</v>
      </c>
      <c r="L293" t="s">
        <v>19</v>
      </c>
      <c r="M293" s="3">
        <f t="shared" si="14"/>
        <v>2179300</v>
      </c>
    </row>
    <row r="294" spans="1:13" ht="15.75" x14ac:dyDescent="0.3">
      <c r="A294" s="1">
        <v>45426</v>
      </c>
      <c r="B294" t="s">
        <v>23</v>
      </c>
      <c r="C294" t="s">
        <v>13</v>
      </c>
      <c r="D294" t="s">
        <v>10</v>
      </c>
      <c r="E294">
        <v>3</v>
      </c>
      <c r="F294">
        <v>8500</v>
      </c>
      <c r="G294" s="2">
        <f t="shared" si="12"/>
        <v>25500</v>
      </c>
      <c r="H294" t="str">
        <f t="shared" si="13"/>
        <v>High</v>
      </c>
      <c r="I294" t="s">
        <v>14</v>
      </c>
      <c r="L294" t="s">
        <v>23</v>
      </c>
      <c r="M294" s="3">
        <f t="shared" si="14"/>
        <v>2202100</v>
      </c>
    </row>
    <row r="295" spans="1:13" ht="15.75" x14ac:dyDescent="0.3">
      <c r="A295" s="1">
        <v>45639</v>
      </c>
      <c r="B295" t="s">
        <v>25</v>
      </c>
      <c r="C295" t="s">
        <v>6</v>
      </c>
      <c r="D295" t="s">
        <v>18</v>
      </c>
      <c r="E295">
        <v>6</v>
      </c>
      <c r="F295">
        <v>300</v>
      </c>
      <c r="G295" s="2">
        <f t="shared" si="12"/>
        <v>1800</v>
      </c>
      <c r="H295" t="str">
        <f t="shared" si="13"/>
        <v>Low</v>
      </c>
      <c r="I295" t="s">
        <v>8</v>
      </c>
      <c r="L295" t="s">
        <v>25</v>
      </c>
      <c r="M295" s="3">
        <f t="shared" si="14"/>
        <v>2243250</v>
      </c>
    </row>
    <row r="296" spans="1:13" ht="15.75" x14ac:dyDescent="0.3">
      <c r="A296" s="1">
        <v>45350</v>
      </c>
      <c r="B296" t="s">
        <v>19</v>
      </c>
      <c r="C296" t="s">
        <v>22</v>
      </c>
      <c r="D296" t="s">
        <v>10</v>
      </c>
      <c r="E296">
        <v>3</v>
      </c>
      <c r="F296">
        <v>3200</v>
      </c>
      <c r="G296" s="2">
        <f t="shared" si="12"/>
        <v>9600</v>
      </c>
      <c r="H296" t="str">
        <f t="shared" si="13"/>
        <v>Low</v>
      </c>
      <c r="I296" t="s">
        <v>14</v>
      </c>
      <c r="L296" t="s">
        <v>19</v>
      </c>
      <c r="M296" s="3">
        <f t="shared" si="14"/>
        <v>2179300</v>
      </c>
    </row>
    <row r="297" spans="1:13" ht="15.75" x14ac:dyDescent="0.3">
      <c r="A297" s="1">
        <v>45616</v>
      </c>
      <c r="B297" t="s">
        <v>9</v>
      </c>
      <c r="C297" t="s">
        <v>21</v>
      </c>
      <c r="D297" t="s">
        <v>17</v>
      </c>
      <c r="E297">
        <v>10</v>
      </c>
      <c r="F297">
        <v>300</v>
      </c>
      <c r="G297" s="2">
        <f t="shared" si="12"/>
        <v>3000</v>
      </c>
      <c r="H297" t="str">
        <f t="shared" si="13"/>
        <v>Low</v>
      </c>
      <c r="I297" t="s">
        <v>8</v>
      </c>
      <c r="L297" t="s">
        <v>9</v>
      </c>
      <c r="M297" s="3">
        <f t="shared" si="14"/>
        <v>1849750</v>
      </c>
    </row>
    <row r="298" spans="1:13" ht="15.75" x14ac:dyDescent="0.3">
      <c r="A298" s="1">
        <v>45644</v>
      </c>
      <c r="B298" t="s">
        <v>25</v>
      </c>
      <c r="C298" t="s">
        <v>22</v>
      </c>
      <c r="D298" t="s">
        <v>18</v>
      </c>
      <c r="E298">
        <v>8</v>
      </c>
      <c r="F298">
        <v>4500</v>
      </c>
      <c r="G298" s="2">
        <f t="shared" si="12"/>
        <v>36000</v>
      </c>
      <c r="H298" t="str">
        <f t="shared" si="13"/>
        <v>High</v>
      </c>
      <c r="I298" t="s">
        <v>11</v>
      </c>
      <c r="L298" t="s">
        <v>25</v>
      </c>
      <c r="M298" s="3">
        <f t="shared" si="14"/>
        <v>2243250</v>
      </c>
    </row>
    <row r="299" spans="1:13" ht="15.75" x14ac:dyDescent="0.3">
      <c r="A299" s="1">
        <v>45385</v>
      </c>
      <c r="B299" t="s">
        <v>15</v>
      </c>
      <c r="C299" t="s">
        <v>22</v>
      </c>
      <c r="D299" t="s">
        <v>17</v>
      </c>
      <c r="E299">
        <v>8</v>
      </c>
      <c r="F299">
        <v>3200</v>
      </c>
      <c r="G299" s="2">
        <f t="shared" si="12"/>
        <v>25600</v>
      </c>
      <c r="H299" t="str">
        <f t="shared" si="13"/>
        <v>High</v>
      </c>
      <c r="I299" t="s">
        <v>14</v>
      </c>
      <c r="L299" t="s">
        <v>15</v>
      </c>
      <c r="M299" s="3">
        <f t="shared" si="14"/>
        <v>2145050</v>
      </c>
    </row>
    <row r="300" spans="1:13" ht="15.75" x14ac:dyDescent="0.3">
      <c r="A300" s="1">
        <v>45586</v>
      </c>
      <c r="B300" t="s">
        <v>9</v>
      </c>
      <c r="C300" t="s">
        <v>13</v>
      </c>
      <c r="D300" t="s">
        <v>7</v>
      </c>
      <c r="E300">
        <v>3</v>
      </c>
      <c r="F300">
        <v>4500</v>
      </c>
      <c r="G300" s="2">
        <f t="shared" si="12"/>
        <v>13500</v>
      </c>
      <c r="H300" t="str">
        <f t="shared" si="13"/>
        <v>High</v>
      </c>
      <c r="I300" t="s">
        <v>14</v>
      </c>
      <c r="L300" t="s">
        <v>9</v>
      </c>
      <c r="M300" s="3">
        <f t="shared" si="14"/>
        <v>1849750</v>
      </c>
    </row>
    <row r="301" spans="1:13" ht="15.75" x14ac:dyDescent="0.3">
      <c r="A301" s="1">
        <v>45499</v>
      </c>
      <c r="B301" t="s">
        <v>9</v>
      </c>
      <c r="C301" t="s">
        <v>6</v>
      </c>
      <c r="D301" t="s">
        <v>17</v>
      </c>
      <c r="E301">
        <v>7</v>
      </c>
      <c r="F301">
        <v>150</v>
      </c>
      <c r="G301" s="2">
        <f t="shared" si="12"/>
        <v>1050</v>
      </c>
      <c r="H301" t="str">
        <f t="shared" si="13"/>
        <v>Low</v>
      </c>
      <c r="I301" t="s">
        <v>14</v>
      </c>
      <c r="L301" t="s">
        <v>9</v>
      </c>
      <c r="M301" s="3">
        <f t="shared" si="14"/>
        <v>1849750</v>
      </c>
    </row>
    <row r="302" spans="1:13" ht="15.75" x14ac:dyDescent="0.3">
      <c r="A302" s="1">
        <v>45438</v>
      </c>
      <c r="B302" t="s">
        <v>9</v>
      </c>
      <c r="C302" t="s">
        <v>13</v>
      </c>
      <c r="D302" t="s">
        <v>20</v>
      </c>
      <c r="E302">
        <v>6</v>
      </c>
      <c r="F302">
        <v>4500</v>
      </c>
      <c r="G302" s="2">
        <f t="shared" si="12"/>
        <v>27000</v>
      </c>
      <c r="H302" t="str">
        <f t="shared" si="13"/>
        <v>High</v>
      </c>
      <c r="I302" t="s">
        <v>8</v>
      </c>
      <c r="L302" t="s">
        <v>9</v>
      </c>
      <c r="M302" s="3">
        <f t="shared" si="14"/>
        <v>1849750</v>
      </c>
    </row>
    <row r="303" spans="1:13" ht="15.75" x14ac:dyDescent="0.3">
      <c r="A303" s="1">
        <v>45443</v>
      </c>
      <c r="B303" t="s">
        <v>24</v>
      </c>
      <c r="C303" t="s">
        <v>6</v>
      </c>
      <c r="D303" t="s">
        <v>7</v>
      </c>
      <c r="E303">
        <v>3</v>
      </c>
      <c r="F303">
        <v>8500</v>
      </c>
      <c r="G303" s="2">
        <f t="shared" si="12"/>
        <v>25500</v>
      </c>
      <c r="H303" t="str">
        <f t="shared" si="13"/>
        <v>High</v>
      </c>
      <c r="I303" t="s">
        <v>11</v>
      </c>
      <c r="L303" t="s">
        <v>24</v>
      </c>
      <c r="M303" s="3">
        <f t="shared" si="14"/>
        <v>2514250</v>
      </c>
    </row>
    <row r="304" spans="1:13" ht="15.75" x14ac:dyDescent="0.3">
      <c r="A304" s="1">
        <v>45310</v>
      </c>
      <c r="B304" t="s">
        <v>23</v>
      </c>
      <c r="C304" t="s">
        <v>16</v>
      </c>
      <c r="D304" t="s">
        <v>18</v>
      </c>
      <c r="E304">
        <v>2</v>
      </c>
      <c r="F304">
        <v>150</v>
      </c>
      <c r="G304" s="2">
        <f t="shared" si="12"/>
        <v>300</v>
      </c>
      <c r="H304" t="str">
        <f t="shared" si="13"/>
        <v>Low</v>
      </c>
      <c r="I304" t="s">
        <v>11</v>
      </c>
      <c r="L304" t="s">
        <v>23</v>
      </c>
      <c r="M304" s="3">
        <f t="shared" si="14"/>
        <v>2202100</v>
      </c>
    </row>
    <row r="305" spans="1:13" ht="15.75" x14ac:dyDescent="0.3">
      <c r="A305" s="1">
        <v>45390</v>
      </c>
      <c r="B305" t="s">
        <v>24</v>
      </c>
      <c r="C305" t="s">
        <v>22</v>
      </c>
      <c r="D305" t="s">
        <v>17</v>
      </c>
      <c r="E305">
        <v>7</v>
      </c>
      <c r="F305">
        <v>3200</v>
      </c>
      <c r="G305" s="2">
        <f t="shared" si="12"/>
        <v>22400</v>
      </c>
      <c r="H305" t="str">
        <f t="shared" si="13"/>
        <v>High</v>
      </c>
      <c r="I305" t="s">
        <v>11</v>
      </c>
      <c r="L305" t="s">
        <v>24</v>
      </c>
      <c r="M305" s="3">
        <f t="shared" si="14"/>
        <v>2514250</v>
      </c>
    </row>
    <row r="306" spans="1:13" ht="15.75" x14ac:dyDescent="0.3">
      <c r="A306" s="1">
        <v>45343</v>
      </c>
      <c r="B306" t="s">
        <v>25</v>
      </c>
      <c r="C306" t="s">
        <v>21</v>
      </c>
      <c r="D306" t="s">
        <v>10</v>
      </c>
      <c r="E306">
        <v>3</v>
      </c>
      <c r="F306">
        <v>4500</v>
      </c>
      <c r="G306" s="2">
        <f t="shared" si="12"/>
        <v>13500</v>
      </c>
      <c r="H306" t="str">
        <f t="shared" si="13"/>
        <v>High</v>
      </c>
      <c r="I306" t="s">
        <v>8</v>
      </c>
      <c r="L306" t="s">
        <v>25</v>
      </c>
      <c r="M306" s="3">
        <f t="shared" si="14"/>
        <v>2243250</v>
      </c>
    </row>
    <row r="307" spans="1:13" ht="15.75" x14ac:dyDescent="0.3">
      <c r="A307" s="1">
        <v>45543</v>
      </c>
      <c r="B307" t="s">
        <v>19</v>
      </c>
      <c r="C307" t="s">
        <v>6</v>
      </c>
      <c r="D307" t="s">
        <v>10</v>
      </c>
      <c r="E307">
        <v>10</v>
      </c>
      <c r="F307">
        <v>300</v>
      </c>
      <c r="G307" s="2">
        <f t="shared" si="12"/>
        <v>3000</v>
      </c>
      <c r="H307" t="str">
        <f t="shared" si="13"/>
        <v>Low</v>
      </c>
      <c r="I307" t="s">
        <v>8</v>
      </c>
      <c r="L307" t="s">
        <v>19</v>
      </c>
      <c r="M307" s="3">
        <f t="shared" si="14"/>
        <v>2179300</v>
      </c>
    </row>
    <row r="308" spans="1:13" ht="15.75" x14ac:dyDescent="0.3">
      <c r="A308" s="1">
        <v>45383</v>
      </c>
      <c r="B308" t="s">
        <v>9</v>
      </c>
      <c r="C308" t="s">
        <v>21</v>
      </c>
      <c r="D308" t="s">
        <v>7</v>
      </c>
      <c r="E308">
        <v>7</v>
      </c>
      <c r="F308">
        <v>300</v>
      </c>
      <c r="G308" s="2">
        <f t="shared" si="12"/>
        <v>2100</v>
      </c>
      <c r="H308" t="str">
        <f t="shared" si="13"/>
        <v>Low</v>
      </c>
      <c r="I308" t="s">
        <v>14</v>
      </c>
      <c r="L308" t="s">
        <v>9</v>
      </c>
      <c r="M308" s="3">
        <f t="shared" si="14"/>
        <v>1849750</v>
      </c>
    </row>
    <row r="309" spans="1:13" ht="15.75" x14ac:dyDescent="0.3">
      <c r="A309" s="1">
        <v>45508</v>
      </c>
      <c r="B309" t="s">
        <v>19</v>
      </c>
      <c r="C309" t="s">
        <v>16</v>
      </c>
      <c r="D309" t="s">
        <v>10</v>
      </c>
      <c r="E309">
        <v>1</v>
      </c>
      <c r="F309">
        <v>150</v>
      </c>
      <c r="G309" s="2">
        <f t="shared" si="12"/>
        <v>150</v>
      </c>
      <c r="H309" t="str">
        <f t="shared" si="13"/>
        <v>Low</v>
      </c>
      <c r="I309" t="s">
        <v>11</v>
      </c>
      <c r="L309" t="s">
        <v>19</v>
      </c>
      <c r="M309" s="3">
        <f t="shared" si="14"/>
        <v>2179300</v>
      </c>
    </row>
    <row r="310" spans="1:13" ht="15.75" x14ac:dyDescent="0.3">
      <c r="A310" s="1">
        <v>45378</v>
      </c>
      <c r="B310" t="s">
        <v>24</v>
      </c>
      <c r="C310" t="s">
        <v>13</v>
      </c>
      <c r="D310" t="s">
        <v>20</v>
      </c>
      <c r="E310">
        <v>10</v>
      </c>
      <c r="F310">
        <v>300</v>
      </c>
      <c r="G310" s="2">
        <f t="shared" si="12"/>
        <v>3000</v>
      </c>
      <c r="H310" t="str">
        <f t="shared" si="13"/>
        <v>Low</v>
      </c>
      <c r="I310" t="s">
        <v>8</v>
      </c>
      <c r="L310" t="s">
        <v>24</v>
      </c>
      <c r="M310" s="3">
        <f t="shared" si="14"/>
        <v>2514250</v>
      </c>
    </row>
    <row r="311" spans="1:13" ht="15.75" x14ac:dyDescent="0.3">
      <c r="A311" s="1">
        <v>45585</v>
      </c>
      <c r="B311" t="s">
        <v>24</v>
      </c>
      <c r="C311" t="s">
        <v>21</v>
      </c>
      <c r="D311" t="s">
        <v>7</v>
      </c>
      <c r="E311">
        <v>5</v>
      </c>
      <c r="F311">
        <v>8500</v>
      </c>
      <c r="G311" s="2">
        <f t="shared" si="12"/>
        <v>42500</v>
      </c>
      <c r="H311" t="str">
        <f t="shared" si="13"/>
        <v>High</v>
      </c>
      <c r="I311" t="s">
        <v>11</v>
      </c>
      <c r="L311" t="s">
        <v>24</v>
      </c>
      <c r="M311" s="3">
        <f t="shared" si="14"/>
        <v>2514250</v>
      </c>
    </row>
    <row r="312" spans="1:13" ht="15.75" x14ac:dyDescent="0.3">
      <c r="A312" s="1">
        <v>45310</v>
      </c>
      <c r="B312" t="s">
        <v>12</v>
      </c>
      <c r="C312" t="s">
        <v>21</v>
      </c>
      <c r="D312" t="s">
        <v>10</v>
      </c>
      <c r="E312">
        <v>9</v>
      </c>
      <c r="F312">
        <v>150</v>
      </c>
      <c r="G312" s="2">
        <f t="shared" si="12"/>
        <v>1350</v>
      </c>
      <c r="H312" t="str">
        <f t="shared" si="13"/>
        <v>Low</v>
      </c>
      <c r="I312" t="s">
        <v>8</v>
      </c>
      <c r="L312" t="s">
        <v>12</v>
      </c>
      <c r="M312" s="3">
        <f t="shared" si="14"/>
        <v>2865050</v>
      </c>
    </row>
    <row r="313" spans="1:13" ht="15.75" x14ac:dyDescent="0.3">
      <c r="A313" s="1">
        <v>45535</v>
      </c>
      <c r="B313" t="s">
        <v>12</v>
      </c>
      <c r="C313" t="s">
        <v>16</v>
      </c>
      <c r="D313" t="s">
        <v>18</v>
      </c>
      <c r="E313">
        <v>9</v>
      </c>
      <c r="F313">
        <v>300</v>
      </c>
      <c r="G313" s="2">
        <f t="shared" si="12"/>
        <v>2700</v>
      </c>
      <c r="H313" t="str">
        <f t="shared" si="13"/>
        <v>Low</v>
      </c>
      <c r="I313" t="s">
        <v>8</v>
      </c>
      <c r="L313" t="s">
        <v>12</v>
      </c>
      <c r="M313" s="3">
        <f t="shared" si="14"/>
        <v>2865050</v>
      </c>
    </row>
    <row r="314" spans="1:13" ht="15.75" x14ac:dyDescent="0.3">
      <c r="A314" s="1">
        <v>45570</v>
      </c>
      <c r="B314" t="s">
        <v>19</v>
      </c>
      <c r="C314" t="s">
        <v>6</v>
      </c>
      <c r="D314" t="s">
        <v>17</v>
      </c>
      <c r="E314">
        <v>4</v>
      </c>
      <c r="F314">
        <v>3200</v>
      </c>
      <c r="G314" s="2">
        <f t="shared" si="12"/>
        <v>12800</v>
      </c>
      <c r="H314" t="str">
        <f t="shared" si="13"/>
        <v>High</v>
      </c>
      <c r="I314" t="s">
        <v>11</v>
      </c>
      <c r="L314" t="s">
        <v>19</v>
      </c>
      <c r="M314" s="3">
        <f t="shared" si="14"/>
        <v>2179300</v>
      </c>
    </row>
    <row r="315" spans="1:13" ht="15.75" x14ac:dyDescent="0.3">
      <c r="A315" s="1">
        <v>45330</v>
      </c>
      <c r="B315" t="s">
        <v>25</v>
      </c>
      <c r="C315" t="s">
        <v>6</v>
      </c>
      <c r="D315" t="s">
        <v>20</v>
      </c>
      <c r="E315">
        <v>8</v>
      </c>
      <c r="F315">
        <v>4500</v>
      </c>
      <c r="G315" s="2">
        <f t="shared" si="12"/>
        <v>36000</v>
      </c>
      <c r="H315" t="str">
        <f t="shared" si="13"/>
        <v>High</v>
      </c>
      <c r="I315" t="s">
        <v>8</v>
      </c>
      <c r="L315" t="s">
        <v>25</v>
      </c>
      <c r="M315" s="3">
        <f t="shared" si="14"/>
        <v>2243250</v>
      </c>
    </row>
    <row r="316" spans="1:13" ht="15.75" x14ac:dyDescent="0.3">
      <c r="A316" s="1">
        <v>45339</v>
      </c>
      <c r="B316" t="s">
        <v>25</v>
      </c>
      <c r="C316" t="s">
        <v>21</v>
      </c>
      <c r="D316" t="s">
        <v>17</v>
      </c>
      <c r="E316">
        <v>4</v>
      </c>
      <c r="F316">
        <v>8500</v>
      </c>
      <c r="G316" s="2">
        <f t="shared" si="12"/>
        <v>34000</v>
      </c>
      <c r="H316" t="str">
        <f t="shared" si="13"/>
        <v>High</v>
      </c>
      <c r="I316" t="s">
        <v>14</v>
      </c>
      <c r="L316" t="s">
        <v>25</v>
      </c>
      <c r="M316" s="3">
        <f t="shared" si="14"/>
        <v>2243250</v>
      </c>
    </row>
    <row r="317" spans="1:13" ht="15.75" x14ac:dyDescent="0.3">
      <c r="A317" s="1">
        <v>45456</v>
      </c>
      <c r="B317" t="s">
        <v>24</v>
      </c>
      <c r="C317" t="s">
        <v>16</v>
      </c>
      <c r="D317" t="s">
        <v>17</v>
      </c>
      <c r="E317">
        <v>6</v>
      </c>
      <c r="F317">
        <v>4500</v>
      </c>
      <c r="G317" s="2">
        <f t="shared" si="12"/>
        <v>27000</v>
      </c>
      <c r="H317" t="str">
        <f t="shared" si="13"/>
        <v>High</v>
      </c>
      <c r="I317" t="s">
        <v>11</v>
      </c>
      <c r="L317" t="s">
        <v>24</v>
      </c>
      <c r="M317" s="3">
        <f t="shared" si="14"/>
        <v>2514250</v>
      </c>
    </row>
    <row r="318" spans="1:13" ht="15.75" x14ac:dyDescent="0.3">
      <c r="A318" s="1">
        <v>45469</v>
      </c>
      <c r="B318" t="s">
        <v>9</v>
      </c>
      <c r="C318" t="s">
        <v>16</v>
      </c>
      <c r="D318" t="s">
        <v>7</v>
      </c>
      <c r="E318">
        <v>3</v>
      </c>
      <c r="F318">
        <v>4500</v>
      </c>
      <c r="G318" s="2">
        <f t="shared" si="12"/>
        <v>13500</v>
      </c>
      <c r="H318" t="str">
        <f t="shared" si="13"/>
        <v>High</v>
      </c>
      <c r="I318" t="s">
        <v>8</v>
      </c>
      <c r="L318" t="s">
        <v>9</v>
      </c>
      <c r="M318" s="3">
        <f t="shared" si="14"/>
        <v>1849750</v>
      </c>
    </row>
    <row r="319" spans="1:13" ht="15.75" x14ac:dyDescent="0.3">
      <c r="A319" s="1">
        <v>45569</v>
      </c>
      <c r="B319" t="s">
        <v>24</v>
      </c>
      <c r="C319" t="s">
        <v>13</v>
      </c>
      <c r="D319" t="s">
        <v>20</v>
      </c>
      <c r="E319">
        <v>2</v>
      </c>
      <c r="F319">
        <v>150</v>
      </c>
      <c r="G319" s="2">
        <f t="shared" si="12"/>
        <v>300</v>
      </c>
      <c r="H319" t="str">
        <f t="shared" si="13"/>
        <v>Low</v>
      </c>
      <c r="I319" t="s">
        <v>14</v>
      </c>
      <c r="L319" t="s">
        <v>24</v>
      </c>
      <c r="M319" s="3">
        <f t="shared" si="14"/>
        <v>2514250</v>
      </c>
    </row>
    <row r="320" spans="1:13" ht="15.75" x14ac:dyDescent="0.3">
      <c r="A320" s="1">
        <v>45611</v>
      </c>
      <c r="B320" t="s">
        <v>12</v>
      </c>
      <c r="C320" t="s">
        <v>6</v>
      </c>
      <c r="D320" t="s">
        <v>17</v>
      </c>
      <c r="E320">
        <v>4</v>
      </c>
      <c r="F320">
        <v>8500</v>
      </c>
      <c r="G320" s="2">
        <f t="shared" si="12"/>
        <v>34000</v>
      </c>
      <c r="H320" t="str">
        <f t="shared" si="13"/>
        <v>High</v>
      </c>
      <c r="I320" t="s">
        <v>14</v>
      </c>
      <c r="L320" t="s">
        <v>12</v>
      </c>
      <c r="M320" s="3">
        <f t="shared" si="14"/>
        <v>2865050</v>
      </c>
    </row>
    <row r="321" spans="1:13" ht="15.75" x14ac:dyDescent="0.3">
      <c r="A321" s="1">
        <v>45376</v>
      </c>
      <c r="B321" t="s">
        <v>9</v>
      </c>
      <c r="C321" t="s">
        <v>6</v>
      </c>
      <c r="D321" t="s">
        <v>20</v>
      </c>
      <c r="E321">
        <v>10</v>
      </c>
      <c r="F321">
        <v>4500</v>
      </c>
      <c r="G321" s="2">
        <f t="shared" si="12"/>
        <v>45000</v>
      </c>
      <c r="H321" t="str">
        <f t="shared" si="13"/>
        <v>High</v>
      </c>
      <c r="I321" t="s">
        <v>8</v>
      </c>
      <c r="L321" t="s">
        <v>9</v>
      </c>
      <c r="M321" s="3">
        <f t="shared" si="14"/>
        <v>1849750</v>
      </c>
    </row>
    <row r="322" spans="1:13" ht="15.75" x14ac:dyDescent="0.3">
      <c r="A322" s="1">
        <v>45429</v>
      </c>
      <c r="B322" t="s">
        <v>24</v>
      </c>
      <c r="C322" t="s">
        <v>22</v>
      </c>
      <c r="D322" t="s">
        <v>20</v>
      </c>
      <c r="E322">
        <v>8</v>
      </c>
      <c r="F322">
        <v>8500</v>
      </c>
      <c r="G322" s="2">
        <f t="shared" si="12"/>
        <v>68000</v>
      </c>
      <c r="H322" t="str">
        <f t="shared" si="13"/>
        <v>High</v>
      </c>
      <c r="I322" t="s">
        <v>14</v>
      </c>
      <c r="L322" t="s">
        <v>24</v>
      </c>
      <c r="M322" s="3">
        <f t="shared" si="14"/>
        <v>2514250</v>
      </c>
    </row>
    <row r="323" spans="1:13" ht="15.75" x14ac:dyDescent="0.3">
      <c r="A323" s="1">
        <v>45503</v>
      </c>
      <c r="B323" t="s">
        <v>15</v>
      </c>
      <c r="C323" t="s">
        <v>13</v>
      </c>
      <c r="D323" t="s">
        <v>7</v>
      </c>
      <c r="E323">
        <v>5</v>
      </c>
      <c r="F323">
        <v>8500</v>
      </c>
      <c r="G323" s="2">
        <f t="shared" ref="G323:G386" si="15">E323*F323</f>
        <v>42500</v>
      </c>
      <c r="H323" t="str">
        <f t="shared" ref="H323:H386" si="16">IF(G323&gt;=10000,"High","Low")</f>
        <v>High</v>
      </c>
      <c r="I323" t="s">
        <v>11</v>
      </c>
      <c r="L323" t="s">
        <v>15</v>
      </c>
      <c r="M323" s="3">
        <f t="shared" ref="M323:M386" si="17">SUMIF(B:B,L323,G:G)</f>
        <v>2145050</v>
      </c>
    </row>
    <row r="324" spans="1:13" ht="15.75" x14ac:dyDescent="0.3">
      <c r="A324" s="1">
        <v>45608</v>
      </c>
      <c r="B324" t="s">
        <v>9</v>
      </c>
      <c r="C324" t="s">
        <v>16</v>
      </c>
      <c r="D324" t="s">
        <v>18</v>
      </c>
      <c r="E324">
        <v>6</v>
      </c>
      <c r="F324">
        <v>150</v>
      </c>
      <c r="G324" s="2">
        <f t="shared" si="15"/>
        <v>900</v>
      </c>
      <c r="H324" t="str">
        <f t="shared" si="16"/>
        <v>Low</v>
      </c>
      <c r="I324" t="s">
        <v>8</v>
      </c>
      <c r="L324" t="s">
        <v>9</v>
      </c>
      <c r="M324" s="3">
        <f t="shared" si="17"/>
        <v>1849750</v>
      </c>
    </row>
    <row r="325" spans="1:13" ht="15.75" x14ac:dyDescent="0.3">
      <c r="A325" s="1">
        <v>45497</v>
      </c>
      <c r="B325" t="s">
        <v>25</v>
      </c>
      <c r="C325" t="s">
        <v>21</v>
      </c>
      <c r="D325" t="s">
        <v>10</v>
      </c>
      <c r="E325">
        <v>2</v>
      </c>
      <c r="F325">
        <v>3200</v>
      </c>
      <c r="G325" s="2">
        <f t="shared" si="15"/>
        <v>6400</v>
      </c>
      <c r="H325" t="str">
        <f t="shared" si="16"/>
        <v>Low</v>
      </c>
      <c r="I325" t="s">
        <v>8</v>
      </c>
      <c r="L325" t="s">
        <v>25</v>
      </c>
      <c r="M325" s="3">
        <f t="shared" si="17"/>
        <v>2243250</v>
      </c>
    </row>
    <row r="326" spans="1:13" ht="15.75" x14ac:dyDescent="0.3">
      <c r="A326" s="1">
        <v>45447</v>
      </c>
      <c r="B326" t="s">
        <v>19</v>
      </c>
      <c r="C326" t="s">
        <v>16</v>
      </c>
      <c r="D326" t="s">
        <v>20</v>
      </c>
      <c r="E326">
        <v>8</v>
      </c>
      <c r="F326">
        <v>300</v>
      </c>
      <c r="G326" s="2">
        <f t="shared" si="15"/>
        <v>2400</v>
      </c>
      <c r="H326" t="str">
        <f t="shared" si="16"/>
        <v>Low</v>
      </c>
      <c r="I326" t="s">
        <v>8</v>
      </c>
      <c r="L326" t="s">
        <v>19</v>
      </c>
      <c r="M326" s="3">
        <f t="shared" si="17"/>
        <v>2179300</v>
      </c>
    </row>
    <row r="327" spans="1:13" ht="15.75" x14ac:dyDescent="0.3">
      <c r="A327" s="1">
        <v>45601</v>
      </c>
      <c r="B327" t="s">
        <v>25</v>
      </c>
      <c r="C327" t="s">
        <v>21</v>
      </c>
      <c r="D327" t="s">
        <v>17</v>
      </c>
      <c r="E327">
        <v>9</v>
      </c>
      <c r="F327">
        <v>8500</v>
      </c>
      <c r="G327" s="2">
        <f t="shared" si="15"/>
        <v>76500</v>
      </c>
      <c r="H327" t="str">
        <f t="shared" si="16"/>
        <v>High</v>
      </c>
      <c r="I327" t="s">
        <v>11</v>
      </c>
      <c r="L327" t="s">
        <v>25</v>
      </c>
      <c r="M327" s="3">
        <f t="shared" si="17"/>
        <v>2243250</v>
      </c>
    </row>
    <row r="328" spans="1:13" ht="15.75" x14ac:dyDescent="0.3">
      <c r="A328" s="1">
        <v>45581</v>
      </c>
      <c r="B328" t="s">
        <v>23</v>
      </c>
      <c r="C328" t="s">
        <v>22</v>
      </c>
      <c r="D328" t="s">
        <v>7</v>
      </c>
      <c r="E328">
        <v>1</v>
      </c>
      <c r="F328">
        <v>4500</v>
      </c>
      <c r="G328" s="2">
        <f t="shared" si="15"/>
        <v>4500</v>
      </c>
      <c r="H328" t="str">
        <f t="shared" si="16"/>
        <v>Low</v>
      </c>
      <c r="I328" t="s">
        <v>11</v>
      </c>
      <c r="L328" t="s">
        <v>23</v>
      </c>
      <c r="M328" s="3">
        <f t="shared" si="17"/>
        <v>2202100</v>
      </c>
    </row>
    <row r="329" spans="1:13" ht="15.75" x14ac:dyDescent="0.3">
      <c r="A329" s="1">
        <v>45645</v>
      </c>
      <c r="B329" t="s">
        <v>26</v>
      </c>
      <c r="C329" t="s">
        <v>13</v>
      </c>
      <c r="D329" t="s">
        <v>7</v>
      </c>
      <c r="E329">
        <v>1</v>
      </c>
      <c r="F329">
        <v>150</v>
      </c>
      <c r="G329" s="2">
        <f t="shared" si="15"/>
        <v>150</v>
      </c>
      <c r="H329" t="str">
        <f t="shared" si="16"/>
        <v>Low</v>
      </c>
      <c r="I329" t="s">
        <v>8</v>
      </c>
      <c r="L329" t="s">
        <v>26</v>
      </c>
      <c r="M329" s="3">
        <f t="shared" si="17"/>
        <v>2430500</v>
      </c>
    </row>
    <row r="330" spans="1:13" ht="15.75" x14ac:dyDescent="0.3">
      <c r="A330" s="1">
        <v>45618</v>
      </c>
      <c r="B330" t="s">
        <v>24</v>
      </c>
      <c r="C330" t="s">
        <v>16</v>
      </c>
      <c r="D330" t="s">
        <v>10</v>
      </c>
      <c r="E330">
        <v>4</v>
      </c>
      <c r="F330">
        <v>150</v>
      </c>
      <c r="G330" s="2">
        <f t="shared" si="15"/>
        <v>600</v>
      </c>
      <c r="H330" t="str">
        <f t="shared" si="16"/>
        <v>Low</v>
      </c>
      <c r="I330" t="s">
        <v>8</v>
      </c>
      <c r="L330" t="s">
        <v>24</v>
      </c>
      <c r="M330" s="3">
        <f t="shared" si="17"/>
        <v>2514250</v>
      </c>
    </row>
    <row r="331" spans="1:13" ht="15.75" x14ac:dyDescent="0.3">
      <c r="A331" s="1">
        <v>45307</v>
      </c>
      <c r="B331" t="s">
        <v>9</v>
      </c>
      <c r="C331" t="s">
        <v>22</v>
      </c>
      <c r="D331" t="s">
        <v>18</v>
      </c>
      <c r="E331">
        <v>1</v>
      </c>
      <c r="F331">
        <v>300</v>
      </c>
      <c r="G331" s="2">
        <f t="shared" si="15"/>
        <v>300</v>
      </c>
      <c r="H331" t="str">
        <f t="shared" si="16"/>
        <v>Low</v>
      </c>
      <c r="I331" t="s">
        <v>11</v>
      </c>
      <c r="L331" t="s">
        <v>9</v>
      </c>
      <c r="M331" s="3">
        <f t="shared" si="17"/>
        <v>1849750</v>
      </c>
    </row>
    <row r="332" spans="1:13" ht="15.75" x14ac:dyDescent="0.3">
      <c r="A332" s="1">
        <v>45562</v>
      </c>
      <c r="B332" t="s">
        <v>12</v>
      </c>
      <c r="C332" t="s">
        <v>16</v>
      </c>
      <c r="D332" t="s">
        <v>20</v>
      </c>
      <c r="E332">
        <v>8</v>
      </c>
      <c r="F332">
        <v>3200</v>
      </c>
      <c r="G332" s="2">
        <f t="shared" si="15"/>
        <v>25600</v>
      </c>
      <c r="H332" t="str">
        <f t="shared" si="16"/>
        <v>High</v>
      </c>
      <c r="I332" t="s">
        <v>8</v>
      </c>
      <c r="L332" t="s">
        <v>12</v>
      </c>
      <c r="M332" s="3">
        <f t="shared" si="17"/>
        <v>2865050</v>
      </c>
    </row>
    <row r="333" spans="1:13" ht="15.75" x14ac:dyDescent="0.3">
      <c r="A333" s="1">
        <v>45533</v>
      </c>
      <c r="B333" t="s">
        <v>12</v>
      </c>
      <c r="C333" t="s">
        <v>6</v>
      </c>
      <c r="D333" t="s">
        <v>10</v>
      </c>
      <c r="E333">
        <v>1</v>
      </c>
      <c r="F333">
        <v>8500</v>
      </c>
      <c r="G333" s="2">
        <f t="shared" si="15"/>
        <v>8500</v>
      </c>
      <c r="H333" t="str">
        <f t="shared" si="16"/>
        <v>Low</v>
      </c>
      <c r="I333" t="s">
        <v>8</v>
      </c>
      <c r="L333" t="s">
        <v>12</v>
      </c>
      <c r="M333" s="3">
        <f t="shared" si="17"/>
        <v>2865050</v>
      </c>
    </row>
    <row r="334" spans="1:13" ht="15.75" x14ac:dyDescent="0.3">
      <c r="A334" s="1">
        <v>45299</v>
      </c>
      <c r="B334" t="s">
        <v>24</v>
      </c>
      <c r="C334" t="s">
        <v>13</v>
      </c>
      <c r="D334" t="s">
        <v>7</v>
      </c>
      <c r="E334">
        <v>8</v>
      </c>
      <c r="F334">
        <v>300</v>
      </c>
      <c r="G334" s="2">
        <f t="shared" si="15"/>
        <v>2400</v>
      </c>
      <c r="H334" t="str">
        <f t="shared" si="16"/>
        <v>Low</v>
      </c>
      <c r="I334" t="s">
        <v>11</v>
      </c>
      <c r="L334" t="s">
        <v>24</v>
      </c>
      <c r="M334" s="3">
        <f t="shared" si="17"/>
        <v>2514250</v>
      </c>
    </row>
    <row r="335" spans="1:13" ht="15.75" x14ac:dyDescent="0.3">
      <c r="A335" s="1">
        <v>45508</v>
      </c>
      <c r="B335" t="s">
        <v>23</v>
      </c>
      <c r="C335" t="s">
        <v>21</v>
      </c>
      <c r="D335" t="s">
        <v>7</v>
      </c>
      <c r="E335">
        <v>4</v>
      </c>
      <c r="F335">
        <v>150</v>
      </c>
      <c r="G335" s="2">
        <f t="shared" si="15"/>
        <v>600</v>
      </c>
      <c r="H335" t="str">
        <f t="shared" si="16"/>
        <v>Low</v>
      </c>
      <c r="I335" t="s">
        <v>8</v>
      </c>
      <c r="L335" t="s">
        <v>23</v>
      </c>
      <c r="M335" s="3">
        <f t="shared" si="17"/>
        <v>2202100</v>
      </c>
    </row>
    <row r="336" spans="1:13" ht="15.75" x14ac:dyDescent="0.3">
      <c r="A336" s="1">
        <v>45359</v>
      </c>
      <c r="B336" t="s">
        <v>23</v>
      </c>
      <c r="C336" t="s">
        <v>22</v>
      </c>
      <c r="D336" t="s">
        <v>17</v>
      </c>
      <c r="E336">
        <v>1</v>
      </c>
      <c r="F336">
        <v>150</v>
      </c>
      <c r="G336" s="2">
        <f t="shared" si="15"/>
        <v>150</v>
      </c>
      <c r="H336" t="str">
        <f t="shared" si="16"/>
        <v>Low</v>
      </c>
      <c r="I336" t="s">
        <v>11</v>
      </c>
      <c r="L336" t="s">
        <v>23</v>
      </c>
      <c r="M336" s="3">
        <f t="shared" si="17"/>
        <v>2202100</v>
      </c>
    </row>
    <row r="337" spans="1:13" ht="15.75" x14ac:dyDescent="0.3">
      <c r="A337" s="1">
        <v>45505</v>
      </c>
      <c r="B337" t="s">
        <v>26</v>
      </c>
      <c r="C337" t="s">
        <v>13</v>
      </c>
      <c r="D337" t="s">
        <v>18</v>
      </c>
      <c r="E337">
        <v>8</v>
      </c>
      <c r="F337">
        <v>4500</v>
      </c>
      <c r="G337" s="2">
        <f t="shared" si="15"/>
        <v>36000</v>
      </c>
      <c r="H337" t="str">
        <f t="shared" si="16"/>
        <v>High</v>
      </c>
      <c r="I337" t="s">
        <v>14</v>
      </c>
      <c r="L337" t="s">
        <v>26</v>
      </c>
      <c r="M337" s="3">
        <f t="shared" si="17"/>
        <v>2430500</v>
      </c>
    </row>
    <row r="338" spans="1:13" ht="15.75" x14ac:dyDescent="0.3">
      <c r="A338" s="1">
        <v>45317</v>
      </c>
      <c r="B338" t="s">
        <v>15</v>
      </c>
      <c r="C338" t="s">
        <v>22</v>
      </c>
      <c r="D338" t="s">
        <v>7</v>
      </c>
      <c r="E338">
        <v>3</v>
      </c>
      <c r="F338">
        <v>3200</v>
      </c>
      <c r="G338" s="2">
        <f t="shared" si="15"/>
        <v>9600</v>
      </c>
      <c r="H338" t="str">
        <f t="shared" si="16"/>
        <v>Low</v>
      </c>
      <c r="I338" t="s">
        <v>8</v>
      </c>
      <c r="L338" t="s">
        <v>15</v>
      </c>
      <c r="M338" s="3">
        <f t="shared" si="17"/>
        <v>2145050</v>
      </c>
    </row>
    <row r="339" spans="1:13" ht="15.75" x14ac:dyDescent="0.3">
      <c r="A339" s="1">
        <v>45381</v>
      </c>
      <c r="B339" t="s">
        <v>19</v>
      </c>
      <c r="C339" t="s">
        <v>22</v>
      </c>
      <c r="D339" t="s">
        <v>20</v>
      </c>
      <c r="E339">
        <v>7</v>
      </c>
      <c r="F339">
        <v>150</v>
      </c>
      <c r="G339" s="2">
        <f t="shared" si="15"/>
        <v>1050</v>
      </c>
      <c r="H339" t="str">
        <f t="shared" si="16"/>
        <v>Low</v>
      </c>
      <c r="I339" t="s">
        <v>11</v>
      </c>
      <c r="L339" t="s">
        <v>19</v>
      </c>
      <c r="M339" s="3">
        <f t="shared" si="17"/>
        <v>2179300</v>
      </c>
    </row>
    <row r="340" spans="1:13" ht="15.75" x14ac:dyDescent="0.3">
      <c r="A340" s="1">
        <v>45594</v>
      </c>
      <c r="B340" t="s">
        <v>23</v>
      </c>
      <c r="C340" t="s">
        <v>13</v>
      </c>
      <c r="D340" t="s">
        <v>20</v>
      </c>
      <c r="E340">
        <v>6</v>
      </c>
      <c r="F340">
        <v>8500</v>
      </c>
      <c r="G340" s="2">
        <f t="shared" si="15"/>
        <v>51000</v>
      </c>
      <c r="H340" t="str">
        <f t="shared" si="16"/>
        <v>High</v>
      </c>
      <c r="I340" t="s">
        <v>14</v>
      </c>
      <c r="L340" t="s">
        <v>23</v>
      </c>
      <c r="M340" s="3">
        <f t="shared" si="17"/>
        <v>2202100</v>
      </c>
    </row>
    <row r="341" spans="1:13" ht="15.75" x14ac:dyDescent="0.3">
      <c r="A341" s="1">
        <v>45587</v>
      </c>
      <c r="B341" t="s">
        <v>25</v>
      </c>
      <c r="C341" t="s">
        <v>16</v>
      </c>
      <c r="D341" t="s">
        <v>20</v>
      </c>
      <c r="E341">
        <v>3</v>
      </c>
      <c r="F341">
        <v>8500</v>
      </c>
      <c r="G341" s="2">
        <f t="shared" si="15"/>
        <v>25500</v>
      </c>
      <c r="H341" t="str">
        <f t="shared" si="16"/>
        <v>High</v>
      </c>
      <c r="I341" t="s">
        <v>14</v>
      </c>
      <c r="L341" t="s">
        <v>25</v>
      </c>
      <c r="M341" s="3">
        <f t="shared" si="17"/>
        <v>2243250</v>
      </c>
    </row>
    <row r="342" spans="1:13" ht="15.75" x14ac:dyDescent="0.3">
      <c r="A342" s="1">
        <v>45553</v>
      </c>
      <c r="B342" t="s">
        <v>15</v>
      </c>
      <c r="C342" t="s">
        <v>6</v>
      </c>
      <c r="D342" t="s">
        <v>18</v>
      </c>
      <c r="E342">
        <v>2</v>
      </c>
      <c r="F342">
        <v>8500</v>
      </c>
      <c r="G342" s="2">
        <f t="shared" si="15"/>
        <v>17000</v>
      </c>
      <c r="H342" t="str">
        <f t="shared" si="16"/>
        <v>High</v>
      </c>
      <c r="I342" t="s">
        <v>8</v>
      </c>
      <c r="L342" t="s">
        <v>15</v>
      </c>
      <c r="M342" s="3">
        <f t="shared" si="17"/>
        <v>2145050</v>
      </c>
    </row>
    <row r="343" spans="1:13" ht="15.75" x14ac:dyDescent="0.3">
      <c r="A343" s="1">
        <v>45458</v>
      </c>
      <c r="B343" t="s">
        <v>12</v>
      </c>
      <c r="C343" t="s">
        <v>21</v>
      </c>
      <c r="D343" t="s">
        <v>18</v>
      </c>
      <c r="E343">
        <v>9</v>
      </c>
      <c r="F343">
        <v>3200</v>
      </c>
      <c r="G343" s="2">
        <f t="shared" si="15"/>
        <v>28800</v>
      </c>
      <c r="H343" t="str">
        <f t="shared" si="16"/>
        <v>High</v>
      </c>
      <c r="I343" t="s">
        <v>14</v>
      </c>
      <c r="L343" t="s">
        <v>12</v>
      </c>
      <c r="M343" s="3">
        <f t="shared" si="17"/>
        <v>2865050</v>
      </c>
    </row>
    <row r="344" spans="1:13" ht="15.75" x14ac:dyDescent="0.3">
      <c r="A344" s="1">
        <v>45654</v>
      </c>
      <c r="B344" t="s">
        <v>19</v>
      </c>
      <c r="C344" t="s">
        <v>13</v>
      </c>
      <c r="D344" t="s">
        <v>17</v>
      </c>
      <c r="E344">
        <v>4</v>
      </c>
      <c r="F344">
        <v>3200</v>
      </c>
      <c r="G344" s="2">
        <f t="shared" si="15"/>
        <v>12800</v>
      </c>
      <c r="H344" t="str">
        <f t="shared" si="16"/>
        <v>High</v>
      </c>
      <c r="I344" t="s">
        <v>14</v>
      </c>
      <c r="L344" t="s">
        <v>19</v>
      </c>
      <c r="M344" s="3">
        <f t="shared" si="17"/>
        <v>2179300</v>
      </c>
    </row>
    <row r="345" spans="1:13" ht="15.75" x14ac:dyDescent="0.3">
      <c r="A345" s="1">
        <v>45554</v>
      </c>
      <c r="B345" t="s">
        <v>24</v>
      </c>
      <c r="C345" t="s">
        <v>13</v>
      </c>
      <c r="D345" t="s">
        <v>7</v>
      </c>
      <c r="E345">
        <v>10</v>
      </c>
      <c r="F345">
        <v>4500</v>
      </c>
      <c r="G345" s="2">
        <f t="shared" si="15"/>
        <v>45000</v>
      </c>
      <c r="H345" t="str">
        <f t="shared" si="16"/>
        <v>High</v>
      </c>
      <c r="I345" t="s">
        <v>8</v>
      </c>
      <c r="L345" t="s">
        <v>24</v>
      </c>
      <c r="M345" s="3">
        <f t="shared" si="17"/>
        <v>2514250</v>
      </c>
    </row>
    <row r="346" spans="1:13" ht="15.75" x14ac:dyDescent="0.3">
      <c r="A346" s="1">
        <v>45373</v>
      </c>
      <c r="B346" t="s">
        <v>9</v>
      </c>
      <c r="C346" t="s">
        <v>21</v>
      </c>
      <c r="D346" t="s">
        <v>18</v>
      </c>
      <c r="E346">
        <v>2</v>
      </c>
      <c r="F346">
        <v>150</v>
      </c>
      <c r="G346" s="2">
        <f t="shared" si="15"/>
        <v>300</v>
      </c>
      <c r="H346" t="str">
        <f t="shared" si="16"/>
        <v>Low</v>
      </c>
      <c r="I346" t="s">
        <v>8</v>
      </c>
      <c r="L346" t="s">
        <v>9</v>
      </c>
      <c r="M346" s="3">
        <f t="shared" si="17"/>
        <v>1849750</v>
      </c>
    </row>
    <row r="347" spans="1:13" ht="15.75" x14ac:dyDescent="0.3">
      <c r="A347" s="1">
        <v>45581</v>
      </c>
      <c r="B347" t="s">
        <v>25</v>
      </c>
      <c r="C347" t="s">
        <v>16</v>
      </c>
      <c r="D347" t="s">
        <v>17</v>
      </c>
      <c r="E347">
        <v>4</v>
      </c>
      <c r="F347">
        <v>3200</v>
      </c>
      <c r="G347" s="2">
        <f t="shared" si="15"/>
        <v>12800</v>
      </c>
      <c r="H347" t="str">
        <f t="shared" si="16"/>
        <v>High</v>
      </c>
      <c r="I347" t="s">
        <v>11</v>
      </c>
      <c r="L347" t="s">
        <v>25</v>
      </c>
      <c r="M347" s="3">
        <f t="shared" si="17"/>
        <v>2243250</v>
      </c>
    </row>
    <row r="348" spans="1:13" ht="15.75" x14ac:dyDescent="0.3">
      <c r="A348" s="1">
        <v>45588</v>
      </c>
      <c r="B348" t="s">
        <v>24</v>
      </c>
      <c r="C348" t="s">
        <v>21</v>
      </c>
      <c r="D348" t="s">
        <v>20</v>
      </c>
      <c r="E348">
        <v>5</v>
      </c>
      <c r="F348">
        <v>4500</v>
      </c>
      <c r="G348" s="2">
        <f t="shared" si="15"/>
        <v>22500</v>
      </c>
      <c r="H348" t="str">
        <f t="shared" si="16"/>
        <v>High</v>
      </c>
      <c r="I348" t="s">
        <v>11</v>
      </c>
      <c r="L348" t="s">
        <v>24</v>
      </c>
      <c r="M348" s="3">
        <f t="shared" si="17"/>
        <v>2514250</v>
      </c>
    </row>
    <row r="349" spans="1:13" ht="15.75" x14ac:dyDescent="0.3">
      <c r="A349" s="1">
        <v>45647</v>
      </c>
      <c r="B349" t="s">
        <v>12</v>
      </c>
      <c r="C349" t="s">
        <v>21</v>
      </c>
      <c r="D349" t="s">
        <v>10</v>
      </c>
      <c r="E349">
        <v>1</v>
      </c>
      <c r="F349">
        <v>8500</v>
      </c>
      <c r="G349" s="2">
        <f t="shared" si="15"/>
        <v>8500</v>
      </c>
      <c r="H349" t="str">
        <f t="shared" si="16"/>
        <v>Low</v>
      </c>
      <c r="I349" t="s">
        <v>14</v>
      </c>
      <c r="L349" t="s">
        <v>12</v>
      </c>
      <c r="M349" s="3">
        <f t="shared" si="17"/>
        <v>2865050</v>
      </c>
    </row>
    <row r="350" spans="1:13" ht="15.75" x14ac:dyDescent="0.3">
      <c r="A350" s="1">
        <v>45602</v>
      </c>
      <c r="B350" t="s">
        <v>19</v>
      </c>
      <c r="C350" t="s">
        <v>22</v>
      </c>
      <c r="D350" t="s">
        <v>20</v>
      </c>
      <c r="E350">
        <v>1</v>
      </c>
      <c r="F350">
        <v>300</v>
      </c>
      <c r="G350" s="2">
        <f t="shared" si="15"/>
        <v>300</v>
      </c>
      <c r="H350" t="str">
        <f t="shared" si="16"/>
        <v>Low</v>
      </c>
      <c r="I350" t="s">
        <v>8</v>
      </c>
      <c r="L350" t="s">
        <v>19</v>
      </c>
      <c r="M350" s="3">
        <f t="shared" si="17"/>
        <v>2179300</v>
      </c>
    </row>
    <row r="351" spans="1:13" ht="15.75" x14ac:dyDescent="0.3">
      <c r="A351" s="1">
        <v>45571</v>
      </c>
      <c r="B351" t="s">
        <v>26</v>
      </c>
      <c r="C351" t="s">
        <v>22</v>
      </c>
      <c r="D351" t="s">
        <v>17</v>
      </c>
      <c r="E351">
        <v>3</v>
      </c>
      <c r="F351">
        <v>8500</v>
      </c>
      <c r="G351" s="2">
        <f t="shared" si="15"/>
        <v>25500</v>
      </c>
      <c r="H351" t="str">
        <f t="shared" si="16"/>
        <v>High</v>
      </c>
      <c r="I351" t="s">
        <v>8</v>
      </c>
      <c r="L351" t="s">
        <v>26</v>
      </c>
      <c r="M351" s="3">
        <f t="shared" si="17"/>
        <v>2430500</v>
      </c>
    </row>
    <row r="352" spans="1:13" ht="15.75" x14ac:dyDescent="0.3">
      <c r="A352" s="1">
        <v>45528</v>
      </c>
      <c r="B352" t="s">
        <v>19</v>
      </c>
      <c r="C352" t="s">
        <v>13</v>
      </c>
      <c r="D352" t="s">
        <v>20</v>
      </c>
      <c r="E352">
        <v>10</v>
      </c>
      <c r="F352">
        <v>4500</v>
      </c>
      <c r="G352" s="2">
        <f t="shared" si="15"/>
        <v>45000</v>
      </c>
      <c r="H352" t="str">
        <f t="shared" si="16"/>
        <v>High</v>
      </c>
      <c r="I352" t="s">
        <v>8</v>
      </c>
      <c r="L352" t="s">
        <v>19</v>
      </c>
      <c r="M352" s="3">
        <f t="shared" si="17"/>
        <v>2179300</v>
      </c>
    </row>
    <row r="353" spans="1:13" ht="15.75" x14ac:dyDescent="0.3">
      <c r="A353" s="1">
        <v>45434</v>
      </c>
      <c r="B353" t="s">
        <v>15</v>
      </c>
      <c r="C353" t="s">
        <v>16</v>
      </c>
      <c r="D353" t="s">
        <v>10</v>
      </c>
      <c r="E353">
        <v>10</v>
      </c>
      <c r="F353">
        <v>8500</v>
      </c>
      <c r="G353" s="2">
        <f t="shared" si="15"/>
        <v>85000</v>
      </c>
      <c r="H353" t="str">
        <f t="shared" si="16"/>
        <v>High</v>
      </c>
      <c r="I353" t="s">
        <v>14</v>
      </c>
      <c r="L353" t="s">
        <v>15</v>
      </c>
      <c r="M353" s="3">
        <f t="shared" si="17"/>
        <v>2145050</v>
      </c>
    </row>
    <row r="354" spans="1:13" ht="15.75" x14ac:dyDescent="0.3">
      <c r="A354" s="1">
        <v>45475</v>
      </c>
      <c r="B354" t="s">
        <v>19</v>
      </c>
      <c r="C354" t="s">
        <v>6</v>
      </c>
      <c r="D354" t="s">
        <v>7</v>
      </c>
      <c r="E354">
        <v>7</v>
      </c>
      <c r="F354">
        <v>300</v>
      </c>
      <c r="G354" s="2">
        <f t="shared" si="15"/>
        <v>2100</v>
      </c>
      <c r="H354" t="str">
        <f t="shared" si="16"/>
        <v>Low</v>
      </c>
      <c r="I354" t="s">
        <v>11</v>
      </c>
      <c r="L354" t="s">
        <v>19</v>
      </c>
      <c r="M354" s="3">
        <f t="shared" si="17"/>
        <v>2179300</v>
      </c>
    </row>
    <row r="355" spans="1:13" ht="15.75" x14ac:dyDescent="0.3">
      <c r="A355" s="1">
        <v>45477</v>
      </c>
      <c r="B355" t="s">
        <v>12</v>
      </c>
      <c r="C355" t="s">
        <v>21</v>
      </c>
      <c r="D355" t="s">
        <v>20</v>
      </c>
      <c r="E355">
        <v>3</v>
      </c>
      <c r="F355">
        <v>150</v>
      </c>
      <c r="G355" s="2">
        <f t="shared" si="15"/>
        <v>450</v>
      </c>
      <c r="H355" t="str">
        <f t="shared" si="16"/>
        <v>Low</v>
      </c>
      <c r="I355" t="s">
        <v>8</v>
      </c>
      <c r="L355" t="s">
        <v>12</v>
      </c>
      <c r="M355" s="3">
        <f t="shared" si="17"/>
        <v>2865050</v>
      </c>
    </row>
    <row r="356" spans="1:13" ht="15.75" x14ac:dyDescent="0.3">
      <c r="A356" s="1">
        <v>45443</v>
      </c>
      <c r="B356" t="s">
        <v>12</v>
      </c>
      <c r="C356" t="s">
        <v>13</v>
      </c>
      <c r="D356" t="s">
        <v>18</v>
      </c>
      <c r="E356">
        <v>8</v>
      </c>
      <c r="F356">
        <v>8500</v>
      </c>
      <c r="G356" s="2">
        <f t="shared" si="15"/>
        <v>68000</v>
      </c>
      <c r="H356" t="str">
        <f t="shared" si="16"/>
        <v>High</v>
      </c>
      <c r="I356" t="s">
        <v>14</v>
      </c>
      <c r="L356" t="s">
        <v>12</v>
      </c>
      <c r="M356" s="3">
        <f t="shared" si="17"/>
        <v>2865050</v>
      </c>
    </row>
    <row r="357" spans="1:13" ht="15.75" x14ac:dyDescent="0.3">
      <c r="A357" s="1">
        <v>45636</v>
      </c>
      <c r="B357" t="s">
        <v>24</v>
      </c>
      <c r="C357" t="s">
        <v>22</v>
      </c>
      <c r="D357" t="s">
        <v>20</v>
      </c>
      <c r="E357">
        <v>10</v>
      </c>
      <c r="F357">
        <v>3200</v>
      </c>
      <c r="G357" s="2">
        <f t="shared" si="15"/>
        <v>32000</v>
      </c>
      <c r="H357" t="str">
        <f t="shared" si="16"/>
        <v>High</v>
      </c>
      <c r="I357" t="s">
        <v>8</v>
      </c>
      <c r="L357" t="s">
        <v>24</v>
      </c>
      <c r="M357" s="3">
        <f t="shared" si="17"/>
        <v>2514250</v>
      </c>
    </row>
    <row r="358" spans="1:13" ht="15.75" x14ac:dyDescent="0.3">
      <c r="A358" s="1">
        <v>45648</v>
      </c>
      <c r="B358" t="s">
        <v>19</v>
      </c>
      <c r="C358" t="s">
        <v>21</v>
      </c>
      <c r="D358" t="s">
        <v>18</v>
      </c>
      <c r="E358">
        <v>7</v>
      </c>
      <c r="F358">
        <v>8500</v>
      </c>
      <c r="G358" s="2">
        <f t="shared" si="15"/>
        <v>59500</v>
      </c>
      <c r="H358" t="str">
        <f t="shared" si="16"/>
        <v>High</v>
      </c>
      <c r="I358" t="s">
        <v>8</v>
      </c>
      <c r="L358" t="s">
        <v>19</v>
      </c>
      <c r="M358" s="3">
        <f t="shared" si="17"/>
        <v>2179300</v>
      </c>
    </row>
    <row r="359" spans="1:13" ht="15.75" x14ac:dyDescent="0.3">
      <c r="A359" s="1">
        <v>45386</v>
      </c>
      <c r="B359" t="s">
        <v>25</v>
      </c>
      <c r="C359" t="s">
        <v>21</v>
      </c>
      <c r="D359" t="s">
        <v>10</v>
      </c>
      <c r="E359">
        <v>7</v>
      </c>
      <c r="F359">
        <v>3200</v>
      </c>
      <c r="G359" s="2">
        <f t="shared" si="15"/>
        <v>22400</v>
      </c>
      <c r="H359" t="str">
        <f t="shared" si="16"/>
        <v>High</v>
      </c>
      <c r="I359" t="s">
        <v>14</v>
      </c>
      <c r="L359" t="s">
        <v>25</v>
      </c>
      <c r="M359" s="3">
        <f t="shared" si="17"/>
        <v>2243250</v>
      </c>
    </row>
    <row r="360" spans="1:13" ht="15.75" x14ac:dyDescent="0.3">
      <c r="A360" s="1">
        <v>45645</v>
      </c>
      <c r="B360" t="s">
        <v>25</v>
      </c>
      <c r="C360" t="s">
        <v>16</v>
      </c>
      <c r="D360" t="s">
        <v>17</v>
      </c>
      <c r="E360">
        <v>8</v>
      </c>
      <c r="F360">
        <v>300</v>
      </c>
      <c r="G360" s="2">
        <f t="shared" si="15"/>
        <v>2400</v>
      </c>
      <c r="H360" t="str">
        <f t="shared" si="16"/>
        <v>Low</v>
      </c>
      <c r="I360" t="s">
        <v>14</v>
      </c>
      <c r="L360" t="s">
        <v>25</v>
      </c>
      <c r="M360" s="3">
        <f t="shared" si="17"/>
        <v>2243250</v>
      </c>
    </row>
    <row r="361" spans="1:13" ht="15.75" x14ac:dyDescent="0.3">
      <c r="A361" s="1">
        <v>45367</v>
      </c>
      <c r="B361" t="s">
        <v>19</v>
      </c>
      <c r="C361" t="s">
        <v>21</v>
      </c>
      <c r="D361" t="s">
        <v>10</v>
      </c>
      <c r="E361">
        <v>2</v>
      </c>
      <c r="F361">
        <v>4500</v>
      </c>
      <c r="G361" s="2">
        <f t="shared" si="15"/>
        <v>9000</v>
      </c>
      <c r="H361" t="str">
        <f t="shared" si="16"/>
        <v>Low</v>
      </c>
      <c r="I361" t="s">
        <v>8</v>
      </c>
      <c r="L361" t="s">
        <v>19</v>
      </c>
      <c r="M361" s="3">
        <f t="shared" si="17"/>
        <v>2179300</v>
      </c>
    </row>
    <row r="362" spans="1:13" ht="15.75" x14ac:dyDescent="0.3">
      <c r="A362" s="1">
        <v>45612</v>
      </c>
      <c r="B362" t="s">
        <v>9</v>
      </c>
      <c r="C362" t="s">
        <v>13</v>
      </c>
      <c r="D362" t="s">
        <v>18</v>
      </c>
      <c r="E362">
        <v>10</v>
      </c>
      <c r="F362">
        <v>300</v>
      </c>
      <c r="G362" s="2">
        <f t="shared" si="15"/>
        <v>3000</v>
      </c>
      <c r="H362" t="str">
        <f t="shared" si="16"/>
        <v>Low</v>
      </c>
      <c r="I362" t="s">
        <v>8</v>
      </c>
      <c r="L362" t="s">
        <v>9</v>
      </c>
      <c r="M362" s="3">
        <f t="shared" si="17"/>
        <v>1849750</v>
      </c>
    </row>
    <row r="363" spans="1:13" ht="15.75" x14ac:dyDescent="0.3">
      <c r="A363" s="1">
        <v>45628</v>
      </c>
      <c r="B363" t="s">
        <v>9</v>
      </c>
      <c r="C363" t="s">
        <v>6</v>
      </c>
      <c r="D363" t="s">
        <v>18</v>
      </c>
      <c r="E363">
        <v>4</v>
      </c>
      <c r="F363">
        <v>3200</v>
      </c>
      <c r="G363" s="2">
        <f t="shared" si="15"/>
        <v>12800</v>
      </c>
      <c r="H363" t="str">
        <f t="shared" si="16"/>
        <v>High</v>
      </c>
      <c r="I363" t="s">
        <v>11</v>
      </c>
      <c r="L363" t="s">
        <v>9</v>
      </c>
      <c r="M363" s="3">
        <f t="shared" si="17"/>
        <v>1849750</v>
      </c>
    </row>
    <row r="364" spans="1:13" ht="15.75" x14ac:dyDescent="0.3">
      <c r="A364" s="1">
        <v>45358</v>
      </c>
      <c r="B364" t="s">
        <v>12</v>
      </c>
      <c r="C364" t="s">
        <v>16</v>
      </c>
      <c r="D364" t="s">
        <v>17</v>
      </c>
      <c r="E364">
        <v>7</v>
      </c>
      <c r="F364">
        <v>3200</v>
      </c>
      <c r="G364" s="2">
        <f t="shared" si="15"/>
        <v>22400</v>
      </c>
      <c r="H364" t="str">
        <f t="shared" si="16"/>
        <v>High</v>
      </c>
      <c r="I364" t="s">
        <v>11</v>
      </c>
      <c r="L364" t="s">
        <v>12</v>
      </c>
      <c r="M364" s="3">
        <f t="shared" si="17"/>
        <v>2865050</v>
      </c>
    </row>
    <row r="365" spans="1:13" ht="15.75" x14ac:dyDescent="0.3">
      <c r="A365" s="1">
        <v>45550</v>
      </c>
      <c r="B365" t="s">
        <v>26</v>
      </c>
      <c r="C365" t="s">
        <v>13</v>
      </c>
      <c r="D365" t="s">
        <v>18</v>
      </c>
      <c r="E365">
        <v>2</v>
      </c>
      <c r="F365">
        <v>4500</v>
      </c>
      <c r="G365" s="2">
        <f t="shared" si="15"/>
        <v>9000</v>
      </c>
      <c r="H365" t="str">
        <f t="shared" si="16"/>
        <v>Low</v>
      </c>
      <c r="I365" t="s">
        <v>11</v>
      </c>
      <c r="L365" t="s">
        <v>26</v>
      </c>
      <c r="M365" s="3">
        <f t="shared" si="17"/>
        <v>2430500</v>
      </c>
    </row>
    <row r="366" spans="1:13" ht="15.75" x14ac:dyDescent="0.3">
      <c r="A366" s="1">
        <v>45319</v>
      </c>
      <c r="B366" t="s">
        <v>26</v>
      </c>
      <c r="C366" t="s">
        <v>21</v>
      </c>
      <c r="D366" t="s">
        <v>7</v>
      </c>
      <c r="E366">
        <v>1</v>
      </c>
      <c r="F366">
        <v>3200</v>
      </c>
      <c r="G366" s="2">
        <f t="shared" si="15"/>
        <v>3200</v>
      </c>
      <c r="H366" t="str">
        <f t="shared" si="16"/>
        <v>Low</v>
      </c>
      <c r="I366" t="s">
        <v>8</v>
      </c>
      <c r="L366" t="s">
        <v>26</v>
      </c>
      <c r="M366" s="3">
        <f t="shared" si="17"/>
        <v>2430500</v>
      </c>
    </row>
    <row r="367" spans="1:13" ht="15.75" x14ac:dyDescent="0.3">
      <c r="A367" s="1">
        <v>45328</v>
      </c>
      <c r="B367" t="s">
        <v>25</v>
      </c>
      <c r="C367" t="s">
        <v>22</v>
      </c>
      <c r="D367" t="s">
        <v>20</v>
      </c>
      <c r="E367">
        <v>6</v>
      </c>
      <c r="F367">
        <v>150</v>
      </c>
      <c r="G367" s="2">
        <f t="shared" si="15"/>
        <v>900</v>
      </c>
      <c r="H367" t="str">
        <f t="shared" si="16"/>
        <v>Low</v>
      </c>
      <c r="I367" t="s">
        <v>8</v>
      </c>
      <c r="L367" t="s">
        <v>25</v>
      </c>
      <c r="M367" s="3">
        <f t="shared" si="17"/>
        <v>2243250</v>
      </c>
    </row>
    <row r="368" spans="1:13" ht="15.75" x14ac:dyDescent="0.3">
      <c r="A368" s="1">
        <v>45378</v>
      </c>
      <c r="B368" t="s">
        <v>24</v>
      </c>
      <c r="C368" t="s">
        <v>22</v>
      </c>
      <c r="D368" t="s">
        <v>7</v>
      </c>
      <c r="E368">
        <v>1</v>
      </c>
      <c r="F368">
        <v>8500</v>
      </c>
      <c r="G368" s="2">
        <f t="shared" si="15"/>
        <v>8500</v>
      </c>
      <c r="H368" t="str">
        <f t="shared" si="16"/>
        <v>Low</v>
      </c>
      <c r="I368" t="s">
        <v>14</v>
      </c>
      <c r="L368" t="s">
        <v>24</v>
      </c>
      <c r="M368" s="3">
        <f t="shared" si="17"/>
        <v>2514250</v>
      </c>
    </row>
    <row r="369" spans="1:13" ht="15.75" x14ac:dyDescent="0.3">
      <c r="A369" s="1">
        <v>45615</v>
      </c>
      <c r="B369" t="s">
        <v>24</v>
      </c>
      <c r="C369" t="s">
        <v>21</v>
      </c>
      <c r="D369" t="s">
        <v>10</v>
      </c>
      <c r="E369">
        <v>7</v>
      </c>
      <c r="F369">
        <v>150</v>
      </c>
      <c r="G369" s="2">
        <f t="shared" si="15"/>
        <v>1050</v>
      </c>
      <c r="H369" t="str">
        <f t="shared" si="16"/>
        <v>Low</v>
      </c>
      <c r="I369" t="s">
        <v>14</v>
      </c>
      <c r="L369" t="s">
        <v>24</v>
      </c>
      <c r="M369" s="3">
        <f t="shared" si="17"/>
        <v>2514250</v>
      </c>
    </row>
    <row r="370" spans="1:13" ht="15.75" x14ac:dyDescent="0.3">
      <c r="A370" s="1">
        <v>45364</v>
      </c>
      <c r="B370" t="s">
        <v>24</v>
      </c>
      <c r="C370" t="s">
        <v>6</v>
      </c>
      <c r="D370" t="s">
        <v>17</v>
      </c>
      <c r="E370">
        <v>5</v>
      </c>
      <c r="F370">
        <v>300</v>
      </c>
      <c r="G370" s="2">
        <f t="shared" si="15"/>
        <v>1500</v>
      </c>
      <c r="H370" t="str">
        <f t="shared" si="16"/>
        <v>Low</v>
      </c>
      <c r="I370" t="s">
        <v>14</v>
      </c>
      <c r="L370" t="s">
        <v>24</v>
      </c>
      <c r="M370" s="3">
        <f t="shared" si="17"/>
        <v>2514250</v>
      </c>
    </row>
    <row r="371" spans="1:13" ht="15.75" x14ac:dyDescent="0.3">
      <c r="A371" s="1">
        <v>45548</v>
      </c>
      <c r="B371" t="s">
        <v>15</v>
      </c>
      <c r="C371" t="s">
        <v>13</v>
      </c>
      <c r="D371" t="s">
        <v>10</v>
      </c>
      <c r="E371">
        <v>9</v>
      </c>
      <c r="F371">
        <v>4500</v>
      </c>
      <c r="G371" s="2">
        <f t="shared" si="15"/>
        <v>40500</v>
      </c>
      <c r="H371" t="str">
        <f t="shared" si="16"/>
        <v>High</v>
      </c>
      <c r="I371" t="s">
        <v>11</v>
      </c>
      <c r="L371" t="s">
        <v>15</v>
      </c>
      <c r="M371" s="3">
        <f t="shared" si="17"/>
        <v>2145050</v>
      </c>
    </row>
    <row r="372" spans="1:13" ht="15.75" x14ac:dyDescent="0.3">
      <c r="A372" s="1">
        <v>45466</v>
      </c>
      <c r="B372" t="s">
        <v>9</v>
      </c>
      <c r="C372" t="s">
        <v>16</v>
      </c>
      <c r="D372" t="s">
        <v>10</v>
      </c>
      <c r="E372">
        <v>9</v>
      </c>
      <c r="F372">
        <v>300</v>
      </c>
      <c r="G372" s="2">
        <f t="shared" si="15"/>
        <v>2700</v>
      </c>
      <c r="H372" t="str">
        <f t="shared" si="16"/>
        <v>Low</v>
      </c>
      <c r="I372" t="s">
        <v>8</v>
      </c>
      <c r="L372" t="s">
        <v>9</v>
      </c>
      <c r="M372" s="3">
        <f t="shared" si="17"/>
        <v>1849750</v>
      </c>
    </row>
    <row r="373" spans="1:13" ht="15.75" x14ac:dyDescent="0.3">
      <c r="A373" s="1">
        <v>45338</v>
      </c>
      <c r="B373" t="s">
        <v>19</v>
      </c>
      <c r="C373" t="s">
        <v>6</v>
      </c>
      <c r="D373" t="s">
        <v>17</v>
      </c>
      <c r="E373">
        <v>6</v>
      </c>
      <c r="F373">
        <v>300</v>
      </c>
      <c r="G373" s="2">
        <f t="shared" si="15"/>
        <v>1800</v>
      </c>
      <c r="H373" t="str">
        <f t="shared" si="16"/>
        <v>Low</v>
      </c>
      <c r="I373" t="s">
        <v>14</v>
      </c>
      <c r="L373" t="s">
        <v>19</v>
      </c>
      <c r="M373" s="3">
        <f t="shared" si="17"/>
        <v>2179300</v>
      </c>
    </row>
    <row r="374" spans="1:13" ht="15.75" x14ac:dyDescent="0.3">
      <c r="A374" s="1">
        <v>45479</v>
      </c>
      <c r="B374" t="s">
        <v>26</v>
      </c>
      <c r="C374" t="s">
        <v>6</v>
      </c>
      <c r="D374" t="s">
        <v>20</v>
      </c>
      <c r="E374">
        <v>2</v>
      </c>
      <c r="F374">
        <v>4500</v>
      </c>
      <c r="G374" s="2">
        <f t="shared" si="15"/>
        <v>9000</v>
      </c>
      <c r="H374" t="str">
        <f t="shared" si="16"/>
        <v>Low</v>
      </c>
      <c r="I374" t="s">
        <v>8</v>
      </c>
      <c r="L374" t="s">
        <v>26</v>
      </c>
      <c r="M374" s="3">
        <f t="shared" si="17"/>
        <v>2430500</v>
      </c>
    </row>
    <row r="375" spans="1:13" ht="15.75" x14ac:dyDescent="0.3">
      <c r="A375" s="1">
        <v>45404</v>
      </c>
      <c r="B375" t="s">
        <v>19</v>
      </c>
      <c r="C375" t="s">
        <v>16</v>
      </c>
      <c r="D375" t="s">
        <v>7</v>
      </c>
      <c r="E375">
        <v>3</v>
      </c>
      <c r="F375">
        <v>8500</v>
      </c>
      <c r="G375" s="2">
        <f t="shared" si="15"/>
        <v>25500</v>
      </c>
      <c r="H375" t="str">
        <f t="shared" si="16"/>
        <v>High</v>
      </c>
      <c r="I375" t="s">
        <v>11</v>
      </c>
      <c r="L375" t="s">
        <v>19</v>
      </c>
      <c r="M375" s="3">
        <f t="shared" si="17"/>
        <v>2179300</v>
      </c>
    </row>
    <row r="376" spans="1:13" ht="15.75" x14ac:dyDescent="0.3">
      <c r="A376" s="1">
        <v>45639</v>
      </c>
      <c r="B376" t="s">
        <v>19</v>
      </c>
      <c r="C376" t="s">
        <v>13</v>
      </c>
      <c r="D376" t="s">
        <v>17</v>
      </c>
      <c r="E376">
        <v>10</v>
      </c>
      <c r="F376">
        <v>150</v>
      </c>
      <c r="G376" s="2">
        <f t="shared" si="15"/>
        <v>1500</v>
      </c>
      <c r="H376" t="str">
        <f t="shared" si="16"/>
        <v>Low</v>
      </c>
      <c r="I376" t="s">
        <v>14</v>
      </c>
      <c r="L376" t="s">
        <v>19</v>
      </c>
      <c r="M376" s="3">
        <f t="shared" si="17"/>
        <v>2179300</v>
      </c>
    </row>
    <row r="377" spans="1:13" ht="15.75" x14ac:dyDescent="0.3">
      <c r="A377" s="1">
        <v>45618</v>
      </c>
      <c r="B377" t="s">
        <v>19</v>
      </c>
      <c r="C377" t="s">
        <v>16</v>
      </c>
      <c r="D377" t="s">
        <v>18</v>
      </c>
      <c r="E377">
        <v>4</v>
      </c>
      <c r="F377">
        <v>4500</v>
      </c>
      <c r="G377" s="2">
        <f t="shared" si="15"/>
        <v>18000</v>
      </c>
      <c r="H377" t="str">
        <f t="shared" si="16"/>
        <v>High</v>
      </c>
      <c r="I377" t="s">
        <v>8</v>
      </c>
      <c r="L377" t="s">
        <v>19</v>
      </c>
      <c r="M377" s="3">
        <f t="shared" si="17"/>
        <v>2179300</v>
      </c>
    </row>
    <row r="378" spans="1:13" ht="15.75" x14ac:dyDescent="0.3">
      <c r="A378" s="1">
        <v>45656</v>
      </c>
      <c r="B378" t="s">
        <v>19</v>
      </c>
      <c r="C378" t="s">
        <v>13</v>
      </c>
      <c r="D378" t="s">
        <v>7</v>
      </c>
      <c r="E378">
        <v>8</v>
      </c>
      <c r="F378">
        <v>3200</v>
      </c>
      <c r="G378" s="2">
        <f t="shared" si="15"/>
        <v>25600</v>
      </c>
      <c r="H378" t="str">
        <f t="shared" si="16"/>
        <v>High</v>
      </c>
      <c r="I378" t="s">
        <v>14</v>
      </c>
      <c r="L378" t="s">
        <v>19</v>
      </c>
      <c r="M378" s="3">
        <f t="shared" si="17"/>
        <v>2179300</v>
      </c>
    </row>
    <row r="379" spans="1:13" ht="15.75" x14ac:dyDescent="0.3">
      <c r="A379" s="1">
        <v>45519</v>
      </c>
      <c r="B379" t="s">
        <v>24</v>
      </c>
      <c r="C379" t="s">
        <v>22</v>
      </c>
      <c r="D379" t="s">
        <v>17</v>
      </c>
      <c r="E379">
        <v>5</v>
      </c>
      <c r="F379">
        <v>150</v>
      </c>
      <c r="G379" s="2">
        <f t="shared" si="15"/>
        <v>750</v>
      </c>
      <c r="H379" t="str">
        <f t="shared" si="16"/>
        <v>Low</v>
      </c>
      <c r="I379" t="s">
        <v>14</v>
      </c>
      <c r="L379" t="s">
        <v>24</v>
      </c>
      <c r="M379" s="3">
        <f t="shared" si="17"/>
        <v>2514250</v>
      </c>
    </row>
    <row r="380" spans="1:13" ht="15.75" x14ac:dyDescent="0.3">
      <c r="A380" s="1">
        <v>45647</v>
      </c>
      <c r="B380" t="s">
        <v>26</v>
      </c>
      <c r="C380" t="s">
        <v>13</v>
      </c>
      <c r="D380" t="s">
        <v>10</v>
      </c>
      <c r="E380">
        <v>6</v>
      </c>
      <c r="F380">
        <v>4500</v>
      </c>
      <c r="G380" s="2">
        <f t="shared" si="15"/>
        <v>27000</v>
      </c>
      <c r="H380" t="str">
        <f t="shared" si="16"/>
        <v>High</v>
      </c>
      <c r="I380" t="s">
        <v>11</v>
      </c>
      <c r="L380" t="s">
        <v>26</v>
      </c>
      <c r="M380" s="3">
        <f t="shared" si="17"/>
        <v>2430500</v>
      </c>
    </row>
    <row r="381" spans="1:13" ht="15.75" x14ac:dyDescent="0.3">
      <c r="A381" s="1">
        <v>45560</v>
      </c>
      <c r="B381" t="s">
        <v>24</v>
      </c>
      <c r="C381" t="s">
        <v>16</v>
      </c>
      <c r="D381" t="s">
        <v>7</v>
      </c>
      <c r="E381">
        <v>2</v>
      </c>
      <c r="F381">
        <v>300</v>
      </c>
      <c r="G381" s="2">
        <f t="shared" si="15"/>
        <v>600</v>
      </c>
      <c r="H381" t="str">
        <f t="shared" si="16"/>
        <v>Low</v>
      </c>
      <c r="I381" t="s">
        <v>14</v>
      </c>
      <c r="L381" t="s">
        <v>24</v>
      </c>
      <c r="M381" s="3">
        <f t="shared" si="17"/>
        <v>2514250</v>
      </c>
    </row>
    <row r="382" spans="1:13" ht="15.75" x14ac:dyDescent="0.3">
      <c r="A382" s="1">
        <v>45598</v>
      </c>
      <c r="B382" t="s">
        <v>26</v>
      </c>
      <c r="C382" t="s">
        <v>21</v>
      </c>
      <c r="D382" t="s">
        <v>17</v>
      </c>
      <c r="E382">
        <v>5</v>
      </c>
      <c r="F382">
        <v>150</v>
      </c>
      <c r="G382" s="2">
        <f t="shared" si="15"/>
        <v>750</v>
      </c>
      <c r="H382" t="str">
        <f t="shared" si="16"/>
        <v>Low</v>
      </c>
      <c r="I382" t="s">
        <v>8</v>
      </c>
      <c r="L382" t="s">
        <v>26</v>
      </c>
      <c r="M382" s="3">
        <f t="shared" si="17"/>
        <v>2430500</v>
      </c>
    </row>
    <row r="383" spans="1:13" ht="15.75" x14ac:dyDescent="0.3">
      <c r="A383" s="1">
        <v>45628</v>
      </c>
      <c r="B383" t="s">
        <v>19</v>
      </c>
      <c r="C383" t="s">
        <v>6</v>
      </c>
      <c r="D383" t="s">
        <v>18</v>
      </c>
      <c r="E383">
        <v>3</v>
      </c>
      <c r="F383">
        <v>4500</v>
      </c>
      <c r="G383" s="2">
        <f t="shared" si="15"/>
        <v>13500</v>
      </c>
      <c r="H383" t="str">
        <f t="shared" si="16"/>
        <v>High</v>
      </c>
      <c r="I383" t="s">
        <v>14</v>
      </c>
      <c r="L383" t="s">
        <v>19</v>
      </c>
      <c r="M383" s="3">
        <f t="shared" si="17"/>
        <v>2179300</v>
      </c>
    </row>
    <row r="384" spans="1:13" ht="15.75" x14ac:dyDescent="0.3">
      <c r="A384" s="1">
        <v>45447</v>
      </c>
      <c r="B384" t="s">
        <v>9</v>
      </c>
      <c r="C384" t="s">
        <v>21</v>
      </c>
      <c r="D384" t="s">
        <v>17</v>
      </c>
      <c r="E384">
        <v>1</v>
      </c>
      <c r="F384">
        <v>3200</v>
      </c>
      <c r="G384" s="2">
        <f t="shared" si="15"/>
        <v>3200</v>
      </c>
      <c r="H384" t="str">
        <f t="shared" si="16"/>
        <v>Low</v>
      </c>
      <c r="I384" t="s">
        <v>14</v>
      </c>
      <c r="L384" t="s">
        <v>9</v>
      </c>
      <c r="M384" s="3">
        <f t="shared" si="17"/>
        <v>1849750</v>
      </c>
    </row>
    <row r="385" spans="1:13" ht="15.75" x14ac:dyDescent="0.3">
      <c r="A385" s="1">
        <v>45513</v>
      </c>
      <c r="B385" t="s">
        <v>19</v>
      </c>
      <c r="C385" t="s">
        <v>16</v>
      </c>
      <c r="D385" t="s">
        <v>17</v>
      </c>
      <c r="E385">
        <v>3</v>
      </c>
      <c r="F385">
        <v>4500</v>
      </c>
      <c r="G385" s="2">
        <f t="shared" si="15"/>
        <v>13500</v>
      </c>
      <c r="H385" t="str">
        <f t="shared" si="16"/>
        <v>High</v>
      </c>
      <c r="I385" t="s">
        <v>11</v>
      </c>
      <c r="L385" t="s">
        <v>19</v>
      </c>
      <c r="M385" s="3">
        <f t="shared" si="17"/>
        <v>2179300</v>
      </c>
    </row>
    <row r="386" spans="1:13" ht="15.75" x14ac:dyDescent="0.3">
      <c r="A386" s="1">
        <v>45608</v>
      </c>
      <c r="B386" t="s">
        <v>24</v>
      </c>
      <c r="C386" t="s">
        <v>16</v>
      </c>
      <c r="D386" t="s">
        <v>17</v>
      </c>
      <c r="E386">
        <v>1</v>
      </c>
      <c r="F386">
        <v>4500</v>
      </c>
      <c r="G386" s="2">
        <f t="shared" si="15"/>
        <v>4500</v>
      </c>
      <c r="H386" t="str">
        <f t="shared" si="16"/>
        <v>Low</v>
      </c>
      <c r="I386" t="s">
        <v>14</v>
      </c>
      <c r="L386" t="s">
        <v>24</v>
      </c>
      <c r="M386" s="3">
        <f t="shared" si="17"/>
        <v>2514250</v>
      </c>
    </row>
    <row r="387" spans="1:13" ht="15.75" x14ac:dyDescent="0.3">
      <c r="A387" s="1">
        <v>45438</v>
      </c>
      <c r="B387" t="s">
        <v>19</v>
      </c>
      <c r="C387" t="s">
        <v>22</v>
      </c>
      <c r="D387" t="s">
        <v>20</v>
      </c>
      <c r="E387">
        <v>10</v>
      </c>
      <c r="F387">
        <v>4500</v>
      </c>
      <c r="G387" s="2">
        <f t="shared" ref="G387:G450" si="18">E387*F387</f>
        <v>45000</v>
      </c>
      <c r="H387" t="str">
        <f t="shared" ref="H387:H450" si="19">IF(G387&gt;=10000,"High","Low")</f>
        <v>High</v>
      </c>
      <c r="I387" t="s">
        <v>14</v>
      </c>
      <c r="L387" t="s">
        <v>19</v>
      </c>
      <c r="M387" s="3">
        <f t="shared" ref="M387:M450" si="20">SUMIF(B:B,L387,G:G)</f>
        <v>2179300</v>
      </c>
    </row>
    <row r="388" spans="1:13" ht="15.75" x14ac:dyDescent="0.3">
      <c r="A388" s="1">
        <v>45445</v>
      </c>
      <c r="B388" t="s">
        <v>26</v>
      </c>
      <c r="C388" t="s">
        <v>21</v>
      </c>
      <c r="D388" t="s">
        <v>17</v>
      </c>
      <c r="E388">
        <v>6</v>
      </c>
      <c r="F388">
        <v>8500</v>
      </c>
      <c r="G388" s="2">
        <f t="shared" si="18"/>
        <v>51000</v>
      </c>
      <c r="H388" t="str">
        <f t="shared" si="19"/>
        <v>High</v>
      </c>
      <c r="I388" t="s">
        <v>8</v>
      </c>
      <c r="L388" t="s">
        <v>26</v>
      </c>
      <c r="M388" s="3">
        <f t="shared" si="20"/>
        <v>2430500</v>
      </c>
    </row>
    <row r="389" spans="1:13" ht="15.75" x14ac:dyDescent="0.3">
      <c r="A389" s="1">
        <v>45516</v>
      </c>
      <c r="B389" t="s">
        <v>12</v>
      </c>
      <c r="C389" t="s">
        <v>13</v>
      </c>
      <c r="D389" t="s">
        <v>20</v>
      </c>
      <c r="E389">
        <v>2</v>
      </c>
      <c r="F389">
        <v>4500</v>
      </c>
      <c r="G389" s="2">
        <f t="shared" si="18"/>
        <v>9000</v>
      </c>
      <c r="H389" t="str">
        <f t="shared" si="19"/>
        <v>Low</v>
      </c>
      <c r="I389" t="s">
        <v>14</v>
      </c>
      <c r="L389" t="s">
        <v>12</v>
      </c>
      <c r="M389" s="3">
        <f t="shared" si="20"/>
        <v>2865050</v>
      </c>
    </row>
    <row r="390" spans="1:13" ht="15.75" x14ac:dyDescent="0.3">
      <c r="A390" s="1">
        <v>45382</v>
      </c>
      <c r="B390" t="s">
        <v>15</v>
      </c>
      <c r="C390" t="s">
        <v>21</v>
      </c>
      <c r="D390" t="s">
        <v>20</v>
      </c>
      <c r="E390">
        <v>7</v>
      </c>
      <c r="F390">
        <v>8500</v>
      </c>
      <c r="G390" s="2">
        <f t="shared" si="18"/>
        <v>59500</v>
      </c>
      <c r="H390" t="str">
        <f t="shared" si="19"/>
        <v>High</v>
      </c>
      <c r="I390" t="s">
        <v>8</v>
      </c>
      <c r="L390" t="s">
        <v>15</v>
      </c>
      <c r="M390" s="3">
        <f t="shared" si="20"/>
        <v>2145050</v>
      </c>
    </row>
    <row r="391" spans="1:13" ht="15.75" x14ac:dyDescent="0.3">
      <c r="A391" s="1">
        <v>45588</v>
      </c>
      <c r="B391" t="s">
        <v>9</v>
      </c>
      <c r="C391" t="s">
        <v>16</v>
      </c>
      <c r="D391" t="s">
        <v>18</v>
      </c>
      <c r="E391">
        <v>1</v>
      </c>
      <c r="F391">
        <v>8500</v>
      </c>
      <c r="G391" s="2">
        <f t="shared" si="18"/>
        <v>8500</v>
      </c>
      <c r="H391" t="str">
        <f t="shared" si="19"/>
        <v>Low</v>
      </c>
      <c r="I391" t="s">
        <v>11</v>
      </c>
      <c r="L391" t="s">
        <v>9</v>
      </c>
      <c r="M391" s="3">
        <f t="shared" si="20"/>
        <v>1849750</v>
      </c>
    </row>
    <row r="392" spans="1:13" ht="15.75" x14ac:dyDescent="0.3">
      <c r="A392" s="1">
        <v>45307</v>
      </c>
      <c r="B392" t="s">
        <v>19</v>
      </c>
      <c r="C392" t="s">
        <v>21</v>
      </c>
      <c r="D392" t="s">
        <v>20</v>
      </c>
      <c r="E392">
        <v>6</v>
      </c>
      <c r="F392">
        <v>3200</v>
      </c>
      <c r="G392" s="2">
        <f t="shared" si="18"/>
        <v>19200</v>
      </c>
      <c r="H392" t="str">
        <f t="shared" si="19"/>
        <v>High</v>
      </c>
      <c r="I392" t="s">
        <v>14</v>
      </c>
      <c r="L392" t="s">
        <v>19</v>
      </c>
      <c r="M392" s="3">
        <f t="shared" si="20"/>
        <v>2179300</v>
      </c>
    </row>
    <row r="393" spans="1:13" ht="15.75" x14ac:dyDescent="0.3">
      <c r="A393" s="1">
        <v>45299</v>
      </c>
      <c r="B393" t="s">
        <v>23</v>
      </c>
      <c r="C393" t="s">
        <v>21</v>
      </c>
      <c r="D393" t="s">
        <v>17</v>
      </c>
      <c r="E393">
        <v>5</v>
      </c>
      <c r="F393">
        <v>8500</v>
      </c>
      <c r="G393" s="2">
        <f t="shared" si="18"/>
        <v>42500</v>
      </c>
      <c r="H393" t="str">
        <f t="shared" si="19"/>
        <v>High</v>
      </c>
      <c r="I393" t="s">
        <v>11</v>
      </c>
      <c r="L393" t="s">
        <v>23</v>
      </c>
      <c r="M393" s="3">
        <f t="shared" si="20"/>
        <v>2202100</v>
      </c>
    </row>
    <row r="394" spans="1:13" ht="15.75" x14ac:dyDescent="0.3">
      <c r="A394" s="1">
        <v>45372</v>
      </c>
      <c r="B394" t="s">
        <v>25</v>
      </c>
      <c r="C394" t="s">
        <v>13</v>
      </c>
      <c r="D394" t="s">
        <v>10</v>
      </c>
      <c r="E394">
        <v>9</v>
      </c>
      <c r="F394">
        <v>4500</v>
      </c>
      <c r="G394" s="2">
        <f t="shared" si="18"/>
        <v>40500</v>
      </c>
      <c r="H394" t="str">
        <f t="shared" si="19"/>
        <v>High</v>
      </c>
      <c r="I394" t="s">
        <v>14</v>
      </c>
      <c r="L394" t="s">
        <v>25</v>
      </c>
      <c r="M394" s="3">
        <f t="shared" si="20"/>
        <v>2243250</v>
      </c>
    </row>
    <row r="395" spans="1:13" ht="15.75" x14ac:dyDescent="0.3">
      <c r="A395" s="1">
        <v>45633</v>
      </c>
      <c r="B395" t="s">
        <v>9</v>
      </c>
      <c r="C395" t="s">
        <v>22</v>
      </c>
      <c r="D395" t="s">
        <v>20</v>
      </c>
      <c r="E395">
        <v>4</v>
      </c>
      <c r="F395">
        <v>300</v>
      </c>
      <c r="G395" s="2">
        <f t="shared" si="18"/>
        <v>1200</v>
      </c>
      <c r="H395" t="str">
        <f t="shared" si="19"/>
        <v>Low</v>
      </c>
      <c r="I395" t="s">
        <v>8</v>
      </c>
      <c r="L395" t="s">
        <v>9</v>
      </c>
      <c r="M395" s="3">
        <f t="shared" si="20"/>
        <v>1849750</v>
      </c>
    </row>
    <row r="396" spans="1:13" ht="15.75" x14ac:dyDescent="0.3">
      <c r="A396" s="1">
        <v>45635</v>
      </c>
      <c r="B396" t="s">
        <v>25</v>
      </c>
      <c r="C396" t="s">
        <v>6</v>
      </c>
      <c r="D396" t="s">
        <v>20</v>
      </c>
      <c r="E396">
        <v>3</v>
      </c>
      <c r="F396">
        <v>8500</v>
      </c>
      <c r="G396" s="2">
        <f t="shared" si="18"/>
        <v>25500</v>
      </c>
      <c r="H396" t="str">
        <f t="shared" si="19"/>
        <v>High</v>
      </c>
      <c r="I396" t="s">
        <v>14</v>
      </c>
      <c r="L396" t="s">
        <v>25</v>
      </c>
      <c r="M396" s="3">
        <f t="shared" si="20"/>
        <v>2243250</v>
      </c>
    </row>
    <row r="397" spans="1:13" ht="15.75" x14ac:dyDescent="0.3">
      <c r="A397" s="1">
        <v>45318</v>
      </c>
      <c r="B397" t="s">
        <v>15</v>
      </c>
      <c r="C397" t="s">
        <v>13</v>
      </c>
      <c r="D397" t="s">
        <v>10</v>
      </c>
      <c r="E397">
        <v>10</v>
      </c>
      <c r="F397">
        <v>8500</v>
      </c>
      <c r="G397" s="2">
        <f t="shared" si="18"/>
        <v>85000</v>
      </c>
      <c r="H397" t="str">
        <f t="shared" si="19"/>
        <v>High</v>
      </c>
      <c r="I397" t="s">
        <v>14</v>
      </c>
      <c r="L397" t="s">
        <v>15</v>
      </c>
      <c r="M397" s="3">
        <f t="shared" si="20"/>
        <v>2145050</v>
      </c>
    </row>
    <row r="398" spans="1:13" ht="15.75" x14ac:dyDescent="0.3">
      <c r="A398" s="1">
        <v>45304</v>
      </c>
      <c r="B398" t="s">
        <v>23</v>
      </c>
      <c r="C398" t="s">
        <v>13</v>
      </c>
      <c r="D398" t="s">
        <v>10</v>
      </c>
      <c r="E398">
        <v>4</v>
      </c>
      <c r="F398">
        <v>300</v>
      </c>
      <c r="G398" s="2">
        <f t="shared" si="18"/>
        <v>1200</v>
      </c>
      <c r="H398" t="str">
        <f t="shared" si="19"/>
        <v>Low</v>
      </c>
      <c r="I398" t="s">
        <v>11</v>
      </c>
      <c r="L398" t="s">
        <v>23</v>
      </c>
      <c r="M398" s="3">
        <f t="shared" si="20"/>
        <v>2202100</v>
      </c>
    </row>
    <row r="399" spans="1:13" ht="15.75" x14ac:dyDescent="0.3">
      <c r="A399" s="1">
        <v>45544</v>
      </c>
      <c r="B399" t="s">
        <v>15</v>
      </c>
      <c r="C399" t="s">
        <v>16</v>
      </c>
      <c r="D399" t="s">
        <v>20</v>
      </c>
      <c r="E399">
        <v>2</v>
      </c>
      <c r="F399">
        <v>300</v>
      </c>
      <c r="G399" s="2">
        <f t="shared" si="18"/>
        <v>600</v>
      </c>
      <c r="H399" t="str">
        <f t="shared" si="19"/>
        <v>Low</v>
      </c>
      <c r="I399" t="s">
        <v>8</v>
      </c>
      <c r="L399" t="s">
        <v>15</v>
      </c>
      <c r="M399" s="3">
        <f t="shared" si="20"/>
        <v>2145050</v>
      </c>
    </row>
    <row r="400" spans="1:13" ht="15.75" x14ac:dyDescent="0.3">
      <c r="A400" s="1">
        <v>45633</v>
      </c>
      <c r="B400" t="s">
        <v>23</v>
      </c>
      <c r="C400" t="s">
        <v>16</v>
      </c>
      <c r="D400" t="s">
        <v>17</v>
      </c>
      <c r="E400">
        <v>1</v>
      </c>
      <c r="F400">
        <v>8500</v>
      </c>
      <c r="G400" s="2">
        <f t="shared" si="18"/>
        <v>8500</v>
      </c>
      <c r="H400" t="str">
        <f t="shared" si="19"/>
        <v>Low</v>
      </c>
      <c r="I400" t="s">
        <v>8</v>
      </c>
      <c r="L400" t="s">
        <v>23</v>
      </c>
      <c r="M400" s="3">
        <f t="shared" si="20"/>
        <v>2202100</v>
      </c>
    </row>
    <row r="401" spans="1:13" ht="15.75" x14ac:dyDescent="0.3">
      <c r="A401" s="1">
        <v>45528</v>
      </c>
      <c r="B401" t="s">
        <v>19</v>
      </c>
      <c r="C401" t="s">
        <v>16</v>
      </c>
      <c r="D401" t="s">
        <v>10</v>
      </c>
      <c r="E401">
        <v>8</v>
      </c>
      <c r="F401">
        <v>4500</v>
      </c>
      <c r="G401" s="2">
        <f t="shared" si="18"/>
        <v>36000</v>
      </c>
      <c r="H401" t="str">
        <f t="shared" si="19"/>
        <v>High</v>
      </c>
      <c r="I401" t="s">
        <v>8</v>
      </c>
      <c r="L401" t="s">
        <v>19</v>
      </c>
      <c r="M401" s="3">
        <f t="shared" si="20"/>
        <v>2179300</v>
      </c>
    </row>
    <row r="402" spans="1:13" ht="15.75" x14ac:dyDescent="0.3">
      <c r="A402" s="1">
        <v>45422</v>
      </c>
      <c r="B402" t="s">
        <v>12</v>
      </c>
      <c r="C402" t="s">
        <v>6</v>
      </c>
      <c r="D402" t="s">
        <v>17</v>
      </c>
      <c r="E402">
        <v>8</v>
      </c>
      <c r="F402">
        <v>300</v>
      </c>
      <c r="G402" s="2">
        <f t="shared" si="18"/>
        <v>2400</v>
      </c>
      <c r="H402" t="str">
        <f t="shared" si="19"/>
        <v>Low</v>
      </c>
      <c r="I402" t="s">
        <v>11</v>
      </c>
      <c r="L402" t="s">
        <v>12</v>
      </c>
      <c r="M402" s="3">
        <f t="shared" si="20"/>
        <v>2865050</v>
      </c>
    </row>
    <row r="403" spans="1:13" ht="15.75" x14ac:dyDescent="0.3">
      <c r="A403" s="1">
        <v>45447</v>
      </c>
      <c r="B403" t="s">
        <v>23</v>
      </c>
      <c r="C403" t="s">
        <v>6</v>
      </c>
      <c r="D403" t="s">
        <v>18</v>
      </c>
      <c r="E403">
        <v>3</v>
      </c>
      <c r="F403">
        <v>4500</v>
      </c>
      <c r="G403" s="2">
        <f t="shared" si="18"/>
        <v>13500</v>
      </c>
      <c r="H403" t="str">
        <f t="shared" si="19"/>
        <v>High</v>
      </c>
      <c r="I403" t="s">
        <v>8</v>
      </c>
      <c r="L403" t="s">
        <v>23</v>
      </c>
      <c r="M403" s="3">
        <f t="shared" si="20"/>
        <v>2202100</v>
      </c>
    </row>
    <row r="404" spans="1:13" ht="15.75" x14ac:dyDescent="0.3">
      <c r="A404" s="1">
        <v>45538</v>
      </c>
      <c r="B404" t="s">
        <v>19</v>
      </c>
      <c r="C404" t="s">
        <v>6</v>
      </c>
      <c r="D404" t="s">
        <v>20</v>
      </c>
      <c r="E404">
        <v>9</v>
      </c>
      <c r="F404">
        <v>3200</v>
      </c>
      <c r="G404" s="2">
        <f t="shared" si="18"/>
        <v>28800</v>
      </c>
      <c r="H404" t="str">
        <f t="shared" si="19"/>
        <v>High</v>
      </c>
      <c r="I404" t="s">
        <v>8</v>
      </c>
      <c r="L404" t="s">
        <v>19</v>
      </c>
      <c r="M404" s="3">
        <f t="shared" si="20"/>
        <v>2179300</v>
      </c>
    </row>
    <row r="405" spans="1:13" ht="15.75" x14ac:dyDescent="0.3">
      <c r="A405" s="1">
        <v>45603</v>
      </c>
      <c r="B405" t="s">
        <v>23</v>
      </c>
      <c r="C405" t="s">
        <v>22</v>
      </c>
      <c r="D405" t="s">
        <v>10</v>
      </c>
      <c r="E405">
        <v>7</v>
      </c>
      <c r="F405">
        <v>8500</v>
      </c>
      <c r="G405" s="2">
        <f t="shared" si="18"/>
        <v>59500</v>
      </c>
      <c r="H405" t="str">
        <f t="shared" si="19"/>
        <v>High</v>
      </c>
      <c r="I405" t="s">
        <v>14</v>
      </c>
      <c r="L405" t="s">
        <v>23</v>
      </c>
      <c r="M405" s="3">
        <f t="shared" si="20"/>
        <v>2202100</v>
      </c>
    </row>
    <row r="406" spans="1:13" ht="15.75" x14ac:dyDescent="0.3">
      <c r="A406" s="1">
        <v>45523</v>
      </c>
      <c r="B406" t="s">
        <v>25</v>
      </c>
      <c r="C406" t="s">
        <v>21</v>
      </c>
      <c r="D406" t="s">
        <v>20</v>
      </c>
      <c r="E406">
        <v>5</v>
      </c>
      <c r="F406">
        <v>300</v>
      </c>
      <c r="G406" s="2">
        <f t="shared" si="18"/>
        <v>1500</v>
      </c>
      <c r="H406" t="str">
        <f t="shared" si="19"/>
        <v>Low</v>
      </c>
      <c r="I406" t="s">
        <v>14</v>
      </c>
      <c r="L406" t="s">
        <v>25</v>
      </c>
      <c r="M406" s="3">
        <f t="shared" si="20"/>
        <v>2243250</v>
      </c>
    </row>
    <row r="407" spans="1:13" ht="15.75" x14ac:dyDescent="0.3">
      <c r="A407" s="1">
        <v>45449</v>
      </c>
      <c r="B407" t="s">
        <v>26</v>
      </c>
      <c r="C407" t="s">
        <v>6</v>
      </c>
      <c r="D407" t="s">
        <v>18</v>
      </c>
      <c r="E407">
        <v>7</v>
      </c>
      <c r="F407">
        <v>8500</v>
      </c>
      <c r="G407" s="2">
        <f t="shared" si="18"/>
        <v>59500</v>
      </c>
      <c r="H407" t="str">
        <f t="shared" si="19"/>
        <v>High</v>
      </c>
      <c r="I407" t="s">
        <v>11</v>
      </c>
      <c r="L407" t="s">
        <v>26</v>
      </c>
      <c r="M407" s="3">
        <f t="shared" si="20"/>
        <v>2430500</v>
      </c>
    </row>
    <row r="408" spans="1:13" ht="15.75" x14ac:dyDescent="0.3">
      <c r="A408" s="1">
        <v>45564</v>
      </c>
      <c r="B408" t="s">
        <v>9</v>
      </c>
      <c r="C408" t="s">
        <v>13</v>
      </c>
      <c r="D408" t="s">
        <v>20</v>
      </c>
      <c r="E408">
        <v>1</v>
      </c>
      <c r="F408">
        <v>3200</v>
      </c>
      <c r="G408" s="2">
        <f t="shared" si="18"/>
        <v>3200</v>
      </c>
      <c r="H408" t="str">
        <f t="shared" si="19"/>
        <v>Low</v>
      </c>
      <c r="I408" t="s">
        <v>14</v>
      </c>
      <c r="L408" t="s">
        <v>9</v>
      </c>
      <c r="M408" s="3">
        <f t="shared" si="20"/>
        <v>1849750</v>
      </c>
    </row>
    <row r="409" spans="1:13" ht="15.75" x14ac:dyDescent="0.3">
      <c r="A409" s="1">
        <v>45613</v>
      </c>
      <c r="B409" t="s">
        <v>19</v>
      </c>
      <c r="C409" t="s">
        <v>6</v>
      </c>
      <c r="D409" t="s">
        <v>7</v>
      </c>
      <c r="E409">
        <v>5</v>
      </c>
      <c r="F409">
        <v>8500</v>
      </c>
      <c r="G409" s="2">
        <f t="shared" si="18"/>
        <v>42500</v>
      </c>
      <c r="H409" t="str">
        <f t="shared" si="19"/>
        <v>High</v>
      </c>
      <c r="I409" t="s">
        <v>8</v>
      </c>
      <c r="L409" t="s">
        <v>19</v>
      </c>
      <c r="M409" s="3">
        <f t="shared" si="20"/>
        <v>2179300</v>
      </c>
    </row>
    <row r="410" spans="1:13" ht="15.75" x14ac:dyDescent="0.3">
      <c r="A410" s="1">
        <v>45388</v>
      </c>
      <c r="B410" t="s">
        <v>23</v>
      </c>
      <c r="C410" t="s">
        <v>21</v>
      </c>
      <c r="D410" t="s">
        <v>10</v>
      </c>
      <c r="E410">
        <v>9</v>
      </c>
      <c r="F410">
        <v>150</v>
      </c>
      <c r="G410" s="2">
        <f t="shared" si="18"/>
        <v>1350</v>
      </c>
      <c r="H410" t="str">
        <f t="shared" si="19"/>
        <v>Low</v>
      </c>
      <c r="I410" t="s">
        <v>14</v>
      </c>
      <c r="L410" t="s">
        <v>23</v>
      </c>
      <c r="M410" s="3">
        <f t="shared" si="20"/>
        <v>2202100</v>
      </c>
    </row>
    <row r="411" spans="1:13" ht="15.75" x14ac:dyDescent="0.3">
      <c r="A411" s="1">
        <v>45476</v>
      </c>
      <c r="B411" t="s">
        <v>19</v>
      </c>
      <c r="C411" t="s">
        <v>22</v>
      </c>
      <c r="D411" t="s">
        <v>18</v>
      </c>
      <c r="E411">
        <v>3</v>
      </c>
      <c r="F411">
        <v>300</v>
      </c>
      <c r="G411" s="2">
        <f t="shared" si="18"/>
        <v>900</v>
      </c>
      <c r="H411" t="str">
        <f t="shared" si="19"/>
        <v>Low</v>
      </c>
      <c r="I411" t="s">
        <v>8</v>
      </c>
      <c r="L411" t="s">
        <v>19</v>
      </c>
      <c r="M411" s="3">
        <f t="shared" si="20"/>
        <v>2179300</v>
      </c>
    </row>
    <row r="412" spans="1:13" ht="15.75" x14ac:dyDescent="0.3">
      <c r="A412" s="1">
        <v>45431</v>
      </c>
      <c r="B412" t="s">
        <v>24</v>
      </c>
      <c r="C412" t="s">
        <v>6</v>
      </c>
      <c r="D412" t="s">
        <v>17</v>
      </c>
      <c r="E412">
        <v>8</v>
      </c>
      <c r="F412">
        <v>3200</v>
      </c>
      <c r="G412" s="2">
        <f t="shared" si="18"/>
        <v>25600</v>
      </c>
      <c r="H412" t="str">
        <f t="shared" si="19"/>
        <v>High</v>
      </c>
      <c r="I412" t="s">
        <v>8</v>
      </c>
      <c r="L412" t="s">
        <v>24</v>
      </c>
      <c r="M412" s="3">
        <f t="shared" si="20"/>
        <v>2514250</v>
      </c>
    </row>
    <row r="413" spans="1:13" ht="15.75" x14ac:dyDescent="0.3">
      <c r="A413" s="1">
        <v>45573</v>
      </c>
      <c r="B413" t="s">
        <v>24</v>
      </c>
      <c r="C413" t="s">
        <v>16</v>
      </c>
      <c r="D413" t="s">
        <v>18</v>
      </c>
      <c r="E413">
        <v>1</v>
      </c>
      <c r="F413">
        <v>4500</v>
      </c>
      <c r="G413" s="2">
        <f t="shared" si="18"/>
        <v>4500</v>
      </c>
      <c r="H413" t="str">
        <f t="shared" si="19"/>
        <v>Low</v>
      </c>
      <c r="I413" t="s">
        <v>14</v>
      </c>
      <c r="L413" t="s">
        <v>24</v>
      </c>
      <c r="M413" s="3">
        <f t="shared" si="20"/>
        <v>2514250</v>
      </c>
    </row>
    <row r="414" spans="1:13" ht="15.75" x14ac:dyDescent="0.3">
      <c r="A414" s="1">
        <v>45498</v>
      </c>
      <c r="B414" t="s">
        <v>25</v>
      </c>
      <c r="C414" t="s">
        <v>16</v>
      </c>
      <c r="D414" t="s">
        <v>18</v>
      </c>
      <c r="E414">
        <v>9</v>
      </c>
      <c r="F414">
        <v>3200</v>
      </c>
      <c r="G414" s="2">
        <f t="shared" si="18"/>
        <v>28800</v>
      </c>
      <c r="H414" t="str">
        <f t="shared" si="19"/>
        <v>High</v>
      </c>
      <c r="I414" t="s">
        <v>11</v>
      </c>
      <c r="L414" t="s">
        <v>25</v>
      </c>
      <c r="M414" s="3">
        <f t="shared" si="20"/>
        <v>2243250</v>
      </c>
    </row>
    <row r="415" spans="1:13" ht="15.75" x14ac:dyDescent="0.3">
      <c r="A415" s="1">
        <v>45525</v>
      </c>
      <c r="B415" t="s">
        <v>24</v>
      </c>
      <c r="C415" t="s">
        <v>16</v>
      </c>
      <c r="D415" t="s">
        <v>17</v>
      </c>
      <c r="E415">
        <v>7</v>
      </c>
      <c r="F415">
        <v>3200</v>
      </c>
      <c r="G415" s="2">
        <f t="shared" si="18"/>
        <v>22400</v>
      </c>
      <c r="H415" t="str">
        <f t="shared" si="19"/>
        <v>High</v>
      </c>
      <c r="I415" t="s">
        <v>8</v>
      </c>
      <c r="L415" t="s">
        <v>24</v>
      </c>
      <c r="M415" s="3">
        <f t="shared" si="20"/>
        <v>2514250</v>
      </c>
    </row>
    <row r="416" spans="1:13" ht="15.75" x14ac:dyDescent="0.3">
      <c r="A416" s="1">
        <v>45442</v>
      </c>
      <c r="B416" t="s">
        <v>12</v>
      </c>
      <c r="C416" t="s">
        <v>6</v>
      </c>
      <c r="D416" t="s">
        <v>10</v>
      </c>
      <c r="E416">
        <v>7</v>
      </c>
      <c r="F416">
        <v>4500</v>
      </c>
      <c r="G416" s="2">
        <f t="shared" si="18"/>
        <v>31500</v>
      </c>
      <c r="H416" t="str">
        <f t="shared" si="19"/>
        <v>High</v>
      </c>
      <c r="I416" t="s">
        <v>8</v>
      </c>
      <c r="L416" t="s">
        <v>12</v>
      </c>
      <c r="M416" s="3">
        <f t="shared" si="20"/>
        <v>2865050</v>
      </c>
    </row>
    <row r="417" spans="1:13" ht="15.75" x14ac:dyDescent="0.3">
      <c r="A417" s="1">
        <v>45531</v>
      </c>
      <c r="B417" t="s">
        <v>12</v>
      </c>
      <c r="C417" t="s">
        <v>16</v>
      </c>
      <c r="D417" t="s">
        <v>7</v>
      </c>
      <c r="E417">
        <v>1</v>
      </c>
      <c r="F417">
        <v>300</v>
      </c>
      <c r="G417" s="2">
        <f t="shared" si="18"/>
        <v>300</v>
      </c>
      <c r="H417" t="str">
        <f t="shared" si="19"/>
        <v>Low</v>
      </c>
      <c r="I417" t="s">
        <v>8</v>
      </c>
      <c r="L417" t="s">
        <v>12</v>
      </c>
      <c r="M417" s="3">
        <f t="shared" si="20"/>
        <v>2865050</v>
      </c>
    </row>
    <row r="418" spans="1:13" ht="15.75" x14ac:dyDescent="0.3">
      <c r="A418" s="1">
        <v>45461</v>
      </c>
      <c r="B418" t="s">
        <v>25</v>
      </c>
      <c r="C418" t="s">
        <v>16</v>
      </c>
      <c r="D418" t="s">
        <v>18</v>
      </c>
      <c r="E418">
        <v>9</v>
      </c>
      <c r="F418">
        <v>150</v>
      </c>
      <c r="G418" s="2">
        <f t="shared" si="18"/>
        <v>1350</v>
      </c>
      <c r="H418" t="str">
        <f t="shared" si="19"/>
        <v>Low</v>
      </c>
      <c r="I418" t="s">
        <v>14</v>
      </c>
      <c r="L418" t="s">
        <v>25</v>
      </c>
      <c r="M418" s="3">
        <f t="shared" si="20"/>
        <v>2243250</v>
      </c>
    </row>
    <row r="419" spans="1:13" ht="15.75" x14ac:dyDescent="0.3">
      <c r="A419" s="1">
        <v>45350</v>
      </c>
      <c r="B419" t="s">
        <v>25</v>
      </c>
      <c r="C419" t="s">
        <v>16</v>
      </c>
      <c r="D419" t="s">
        <v>10</v>
      </c>
      <c r="E419">
        <v>9</v>
      </c>
      <c r="F419">
        <v>3200</v>
      </c>
      <c r="G419" s="2">
        <f t="shared" si="18"/>
        <v>28800</v>
      </c>
      <c r="H419" t="str">
        <f t="shared" si="19"/>
        <v>High</v>
      </c>
      <c r="I419" t="s">
        <v>11</v>
      </c>
      <c r="L419" t="s">
        <v>25</v>
      </c>
      <c r="M419" s="3">
        <f t="shared" si="20"/>
        <v>2243250</v>
      </c>
    </row>
    <row r="420" spans="1:13" ht="15.75" x14ac:dyDescent="0.3">
      <c r="A420" s="1">
        <v>45565</v>
      </c>
      <c r="B420" t="s">
        <v>15</v>
      </c>
      <c r="C420" t="s">
        <v>13</v>
      </c>
      <c r="D420" t="s">
        <v>10</v>
      </c>
      <c r="E420">
        <v>7</v>
      </c>
      <c r="F420">
        <v>300</v>
      </c>
      <c r="G420" s="2">
        <f t="shared" si="18"/>
        <v>2100</v>
      </c>
      <c r="H420" t="str">
        <f t="shared" si="19"/>
        <v>Low</v>
      </c>
      <c r="I420" t="s">
        <v>11</v>
      </c>
      <c r="L420" t="s">
        <v>15</v>
      </c>
      <c r="M420" s="3">
        <f t="shared" si="20"/>
        <v>2145050</v>
      </c>
    </row>
    <row r="421" spans="1:13" ht="15.75" x14ac:dyDescent="0.3">
      <c r="A421" s="1">
        <v>45545</v>
      </c>
      <c r="B421" t="s">
        <v>19</v>
      </c>
      <c r="C421" t="s">
        <v>21</v>
      </c>
      <c r="D421" t="s">
        <v>20</v>
      </c>
      <c r="E421">
        <v>9</v>
      </c>
      <c r="F421">
        <v>300</v>
      </c>
      <c r="G421" s="2">
        <f t="shared" si="18"/>
        <v>2700</v>
      </c>
      <c r="H421" t="str">
        <f t="shared" si="19"/>
        <v>Low</v>
      </c>
      <c r="I421" t="s">
        <v>11</v>
      </c>
      <c r="L421" t="s">
        <v>19</v>
      </c>
      <c r="M421" s="3">
        <f t="shared" si="20"/>
        <v>2179300</v>
      </c>
    </row>
    <row r="422" spans="1:13" ht="15.75" x14ac:dyDescent="0.3">
      <c r="A422" s="1">
        <v>45356</v>
      </c>
      <c r="B422" t="s">
        <v>23</v>
      </c>
      <c r="C422" t="s">
        <v>21</v>
      </c>
      <c r="D422" t="s">
        <v>20</v>
      </c>
      <c r="E422">
        <v>10</v>
      </c>
      <c r="F422">
        <v>8500</v>
      </c>
      <c r="G422" s="2">
        <f t="shared" si="18"/>
        <v>85000</v>
      </c>
      <c r="H422" t="str">
        <f t="shared" si="19"/>
        <v>High</v>
      </c>
      <c r="I422" t="s">
        <v>11</v>
      </c>
      <c r="L422" t="s">
        <v>23</v>
      </c>
      <c r="M422" s="3">
        <f t="shared" si="20"/>
        <v>2202100</v>
      </c>
    </row>
    <row r="423" spans="1:13" ht="15.75" x14ac:dyDescent="0.3">
      <c r="A423" s="1">
        <v>45459</v>
      </c>
      <c r="B423" t="s">
        <v>9</v>
      </c>
      <c r="C423" t="s">
        <v>13</v>
      </c>
      <c r="D423" t="s">
        <v>10</v>
      </c>
      <c r="E423">
        <v>5</v>
      </c>
      <c r="F423">
        <v>8500</v>
      </c>
      <c r="G423" s="2">
        <f t="shared" si="18"/>
        <v>42500</v>
      </c>
      <c r="H423" t="str">
        <f t="shared" si="19"/>
        <v>High</v>
      </c>
      <c r="I423" t="s">
        <v>14</v>
      </c>
      <c r="L423" t="s">
        <v>9</v>
      </c>
      <c r="M423" s="3">
        <f t="shared" si="20"/>
        <v>1849750</v>
      </c>
    </row>
    <row r="424" spans="1:13" ht="15.75" x14ac:dyDescent="0.3">
      <c r="A424" s="1">
        <v>45358</v>
      </c>
      <c r="B424" t="s">
        <v>9</v>
      </c>
      <c r="C424" t="s">
        <v>16</v>
      </c>
      <c r="D424" t="s">
        <v>18</v>
      </c>
      <c r="E424">
        <v>5</v>
      </c>
      <c r="F424">
        <v>300</v>
      </c>
      <c r="G424" s="2">
        <f t="shared" si="18"/>
        <v>1500</v>
      </c>
      <c r="H424" t="str">
        <f t="shared" si="19"/>
        <v>Low</v>
      </c>
      <c r="I424" t="s">
        <v>11</v>
      </c>
      <c r="L424" t="s">
        <v>9</v>
      </c>
      <c r="M424" s="3">
        <f t="shared" si="20"/>
        <v>1849750</v>
      </c>
    </row>
    <row r="425" spans="1:13" ht="15.75" x14ac:dyDescent="0.3">
      <c r="A425" s="1">
        <v>45391</v>
      </c>
      <c r="B425" t="s">
        <v>23</v>
      </c>
      <c r="C425" t="s">
        <v>6</v>
      </c>
      <c r="D425" t="s">
        <v>10</v>
      </c>
      <c r="E425">
        <v>4</v>
      </c>
      <c r="F425">
        <v>3200</v>
      </c>
      <c r="G425" s="2">
        <f t="shared" si="18"/>
        <v>12800</v>
      </c>
      <c r="H425" t="str">
        <f t="shared" si="19"/>
        <v>High</v>
      </c>
      <c r="I425" t="s">
        <v>8</v>
      </c>
      <c r="L425" t="s">
        <v>23</v>
      </c>
      <c r="M425" s="3">
        <f t="shared" si="20"/>
        <v>2202100</v>
      </c>
    </row>
    <row r="426" spans="1:13" ht="15.75" x14ac:dyDescent="0.3">
      <c r="A426" s="1">
        <v>45600</v>
      </c>
      <c r="B426" t="s">
        <v>25</v>
      </c>
      <c r="C426" t="s">
        <v>13</v>
      </c>
      <c r="D426" t="s">
        <v>10</v>
      </c>
      <c r="E426">
        <v>1</v>
      </c>
      <c r="F426">
        <v>300</v>
      </c>
      <c r="G426" s="2">
        <f t="shared" si="18"/>
        <v>300</v>
      </c>
      <c r="H426" t="str">
        <f t="shared" si="19"/>
        <v>Low</v>
      </c>
      <c r="I426" t="s">
        <v>14</v>
      </c>
      <c r="L426" t="s">
        <v>25</v>
      </c>
      <c r="M426" s="3">
        <f t="shared" si="20"/>
        <v>2243250</v>
      </c>
    </row>
    <row r="427" spans="1:13" ht="15.75" x14ac:dyDescent="0.3">
      <c r="A427" s="1">
        <v>45600</v>
      </c>
      <c r="B427" t="s">
        <v>9</v>
      </c>
      <c r="C427" t="s">
        <v>13</v>
      </c>
      <c r="D427" t="s">
        <v>7</v>
      </c>
      <c r="E427">
        <v>7</v>
      </c>
      <c r="F427">
        <v>300</v>
      </c>
      <c r="G427" s="2">
        <f t="shared" si="18"/>
        <v>2100</v>
      </c>
      <c r="H427" t="str">
        <f t="shared" si="19"/>
        <v>Low</v>
      </c>
      <c r="I427" t="s">
        <v>14</v>
      </c>
      <c r="L427" t="s">
        <v>9</v>
      </c>
      <c r="M427" s="3">
        <f t="shared" si="20"/>
        <v>1849750</v>
      </c>
    </row>
    <row r="428" spans="1:13" ht="15.75" x14ac:dyDescent="0.3">
      <c r="A428" s="1">
        <v>45525</v>
      </c>
      <c r="B428" t="s">
        <v>19</v>
      </c>
      <c r="C428" t="s">
        <v>21</v>
      </c>
      <c r="D428" t="s">
        <v>18</v>
      </c>
      <c r="E428">
        <v>7</v>
      </c>
      <c r="F428">
        <v>150</v>
      </c>
      <c r="G428" s="2">
        <f t="shared" si="18"/>
        <v>1050</v>
      </c>
      <c r="H428" t="str">
        <f t="shared" si="19"/>
        <v>Low</v>
      </c>
      <c r="I428" t="s">
        <v>11</v>
      </c>
      <c r="L428" t="s">
        <v>19</v>
      </c>
      <c r="M428" s="3">
        <f t="shared" si="20"/>
        <v>2179300</v>
      </c>
    </row>
    <row r="429" spans="1:13" ht="15.75" x14ac:dyDescent="0.3">
      <c r="A429" s="1">
        <v>45504</v>
      </c>
      <c r="B429" t="s">
        <v>23</v>
      </c>
      <c r="C429" t="s">
        <v>21</v>
      </c>
      <c r="D429" t="s">
        <v>10</v>
      </c>
      <c r="E429">
        <v>8</v>
      </c>
      <c r="F429">
        <v>3200</v>
      </c>
      <c r="G429" s="2">
        <f t="shared" si="18"/>
        <v>25600</v>
      </c>
      <c r="H429" t="str">
        <f t="shared" si="19"/>
        <v>High</v>
      </c>
      <c r="I429" t="s">
        <v>8</v>
      </c>
      <c r="L429" t="s">
        <v>23</v>
      </c>
      <c r="M429" s="3">
        <f t="shared" si="20"/>
        <v>2202100</v>
      </c>
    </row>
    <row r="430" spans="1:13" ht="15.75" x14ac:dyDescent="0.3">
      <c r="A430" s="1">
        <v>45402</v>
      </c>
      <c r="B430" t="s">
        <v>23</v>
      </c>
      <c r="C430" t="s">
        <v>22</v>
      </c>
      <c r="D430" t="s">
        <v>20</v>
      </c>
      <c r="E430">
        <v>10</v>
      </c>
      <c r="F430">
        <v>300</v>
      </c>
      <c r="G430" s="2">
        <f t="shared" si="18"/>
        <v>3000</v>
      </c>
      <c r="H430" t="str">
        <f t="shared" si="19"/>
        <v>Low</v>
      </c>
      <c r="I430" t="s">
        <v>14</v>
      </c>
      <c r="L430" t="s">
        <v>23</v>
      </c>
      <c r="M430" s="3">
        <f t="shared" si="20"/>
        <v>2202100</v>
      </c>
    </row>
    <row r="431" spans="1:13" ht="15.75" x14ac:dyDescent="0.3">
      <c r="A431" s="1">
        <v>45390</v>
      </c>
      <c r="B431" t="s">
        <v>24</v>
      </c>
      <c r="C431" t="s">
        <v>16</v>
      </c>
      <c r="D431" t="s">
        <v>10</v>
      </c>
      <c r="E431">
        <v>6</v>
      </c>
      <c r="F431">
        <v>8500</v>
      </c>
      <c r="G431" s="2">
        <f t="shared" si="18"/>
        <v>51000</v>
      </c>
      <c r="H431" t="str">
        <f t="shared" si="19"/>
        <v>High</v>
      </c>
      <c r="I431" t="s">
        <v>14</v>
      </c>
      <c r="L431" t="s">
        <v>24</v>
      </c>
      <c r="M431" s="3">
        <f t="shared" si="20"/>
        <v>2514250</v>
      </c>
    </row>
    <row r="432" spans="1:13" ht="15.75" x14ac:dyDescent="0.3">
      <c r="A432" s="1">
        <v>45448</v>
      </c>
      <c r="B432" t="s">
        <v>9</v>
      </c>
      <c r="C432" t="s">
        <v>21</v>
      </c>
      <c r="D432" t="s">
        <v>10</v>
      </c>
      <c r="E432">
        <v>6</v>
      </c>
      <c r="F432">
        <v>300</v>
      </c>
      <c r="G432" s="2">
        <f t="shared" si="18"/>
        <v>1800</v>
      </c>
      <c r="H432" t="str">
        <f t="shared" si="19"/>
        <v>Low</v>
      </c>
      <c r="I432" t="s">
        <v>8</v>
      </c>
      <c r="L432" t="s">
        <v>9</v>
      </c>
      <c r="M432" s="3">
        <f t="shared" si="20"/>
        <v>1849750</v>
      </c>
    </row>
    <row r="433" spans="1:13" ht="15.75" x14ac:dyDescent="0.3">
      <c r="A433" s="1">
        <v>45577</v>
      </c>
      <c r="B433" t="s">
        <v>15</v>
      </c>
      <c r="C433" t="s">
        <v>21</v>
      </c>
      <c r="D433" t="s">
        <v>17</v>
      </c>
      <c r="E433">
        <v>8</v>
      </c>
      <c r="F433">
        <v>300</v>
      </c>
      <c r="G433" s="2">
        <f t="shared" si="18"/>
        <v>2400</v>
      </c>
      <c r="H433" t="str">
        <f t="shared" si="19"/>
        <v>Low</v>
      </c>
      <c r="I433" t="s">
        <v>14</v>
      </c>
      <c r="L433" t="s">
        <v>15</v>
      </c>
      <c r="M433" s="3">
        <f t="shared" si="20"/>
        <v>2145050</v>
      </c>
    </row>
    <row r="434" spans="1:13" ht="15.75" x14ac:dyDescent="0.3">
      <c r="A434" s="1">
        <v>45591</v>
      </c>
      <c r="B434" t="s">
        <v>15</v>
      </c>
      <c r="C434" t="s">
        <v>13</v>
      </c>
      <c r="D434" t="s">
        <v>7</v>
      </c>
      <c r="E434">
        <v>3</v>
      </c>
      <c r="F434">
        <v>4500</v>
      </c>
      <c r="G434" s="2">
        <f t="shared" si="18"/>
        <v>13500</v>
      </c>
      <c r="H434" t="str">
        <f t="shared" si="19"/>
        <v>High</v>
      </c>
      <c r="I434" t="s">
        <v>11</v>
      </c>
      <c r="L434" t="s">
        <v>15</v>
      </c>
      <c r="M434" s="3">
        <f t="shared" si="20"/>
        <v>2145050</v>
      </c>
    </row>
    <row r="435" spans="1:13" ht="15.75" x14ac:dyDescent="0.3">
      <c r="A435" s="1">
        <v>45610</v>
      </c>
      <c r="B435" t="s">
        <v>25</v>
      </c>
      <c r="C435" t="s">
        <v>16</v>
      </c>
      <c r="D435" t="s">
        <v>10</v>
      </c>
      <c r="E435">
        <v>1</v>
      </c>
      <c r="F435">
        <v>150</v>
      </c>
      <c r="G435" s="2">
        <f t="shared" si="18"/>
        <v>150</v>
      </c>
      <c r="H435" t="str">
        <f t="shared" si="19"/>
        <v>Low</v>
      </c>
      <c r="I435" t="s">
        <v>8</v>
      </c>
      <c r="L435" t="s">
        <v>25</v>
      </c>
      <c r="M435" s="3">
        <f t="shared" si="20"/>
        <v>2243250</v>
      </c>
    </row>
    <row r="436" spans="1:13" ht="15.75" x14ac:dyDescent="0.3">
      <c r="A436" s="1">
        <v>45341</v>
      </c>
      <c r="B436" t="s">
        <v>25</v>
      </c>
      <c r="C436" t="s">
        <v>6</v>
      </c>
      <c r="D436" t="s">
        <v>10</v>
      </c>
      <c r="E436">
        <v>5</v>
      </c>
      <c r="F436">
        <v>300</v>
      </c>
      <c r="G436" s="2">
        <f t="shared" si="18"/>
        <v>1500</v>
      </c>
      <c r="H436" t="str">
        <f t="shared" si="19"/>
        <v>Low</v>
      </c>
      <c r="I436" t="s">
        <v>8</v>
      </c>
      <c r="L436" t="s">
        <v>25</v>
      </c>
      <c r="M436" s="3">
        <f t="shared" si="20"/>
        <v>2243250</v>
      </c>
    </row>
    <row r="437" spans="1:13" ht="15.75" x14ac:dyDescent="0.3">
      <c r="A437" s="1">
        <v>45368</v>
      </c>
      <c r="B437" t="s">
        <v>24</v>
      </c>
      <c r="C437" t="s">
        <v>13</v>
      </c>
      <c r="D437" t="s">
        <v>10</v>
      </c>
      <c r="E437">
        <v>5</v>
      </c>
      <c r="F437">
        <v>300</v>
      </c>
      <c r="G437" s="2">
        <f t="shared" si="18"/>
        <v>1500</v>
      </c>
      <c r="H437" t="str">
        <f t="shared" si="19"/>
        <v>Low</v>
      </c>
      <c r="I437" t="s">
        <v>8</v>
      </c>
      <c r="L437" t="s">
        <v>24</v>
      </c>
      <c r="M437" s="3">
        <f t="shared" si="20"/>
        <v>2514250</v>
      </c>
    </row>
    <row r="438" spans="1:13" ht="15.75" x14ac:dyDescent="0.3">
      <c r="A438" s="1">
        <v>45550</v>
      </c>
      <c r="B438" t="s">
        <v>25</v>
      </c>
      <c r="C438" t="s">
        <v>22</v>
      </c>
      <c r="D438" t="s">
        <v>17</v>
      </c>
      <c r="E438">
        <v>9</v>
      </c>
      <c r="F438">
        <v>300</v>
      </c>
      <c r="G438" s="2">
        <f t="shared" si="18"/>
        <v>2700</v>
      </c>
      <c r="H438" t="str">
        <f t="shared" si="19"/>
        <v>Low</v>
      </c>
      <c r="I438" t="s">
        <v>14</v>
      </c>
      <c r="L438" t="s">
        <v>25</v>
      </c>
      <c r="M438" s="3">
        <f t="shared" si="20"/>
        <v>2243250</v>
      </c>
    </row>
    <row r="439" spans="1:13" ht="15.75" x14ac:dyDescent="0.3">
      <c r="A439" s="1">
        <v>45318</v>
      </c>
      <c r="B439" t="s">
        <v>25</v>
      </c>
      <c r="C439" t="s">
        <v>22</v>
      </c>
      <c r="D439" t="s">
        <v>7</v>
      </c>
      <c r="E439">
        <v>4</v>
      </c>
      <c r="F439">
        <v>4500</v>
      </c>
      <c r="G439" s="2">
        <f t="shared" si="18"/>
        <v>18000</v>
      </c>
      <c r="H439" t="str">
        <f t="shared" si="19"/>
        <v>High</v>
      </c>
      <c r="I439" t="s">
        <v>11</v>
      </c>
      <c r="L439" t="s">
        <v>25</v>
      </c>
      <c r="M439" s="3">
        <f t="shared" si="20"/>
        <v>2243250</v>
      </c>
    </row>
    <row r="440" spans="1:13" ht="15.75" x14ac:dyDescent="0.3">
      <c r="A440" s="1">
        <v>45332</v>
      </c>
      <c r="B440" t="s">
        <v>19</v>
      </c>
      <c r="C440" t="s">
        <v>13</v>
      </c>
      <c r="D440" t="s">
        <v>18</v>
      </c>
      <c r="E440">
        <v>10</v>
      </c>
      <c r="F440">
        <v>150</v>
      </c>
      <c r="G440" s="2">
        <f t="shared" si="18"/>
        <v>1500</v>
      </c>
      <c r="H440" t="str">
        <f t="shared" si="19"/>
        <v>Low</v>
      </c>
      <c r="I440" t="s">
        <v>8</v>
      </c>
      <c r="L440" t="s">
        <v>19</v>
      </c>
      <c r="M440" s="3">
        <f t="shared" si="20"/>
        <v>2179300</v>
      </c>
    </row>
    <row r="441" spans="1:13" ht="15.75" x14ac:dyDescent="0.3">
      <c r="A441" s="1">
        <v>45492</v>
      </c>
      <c r="B441" t="s">
        <v>15</v>
      </c>
      <c r="C441" t="s">
        <v>16</v>
      </c>
      <c r="D441" t="s">
        <v>7</v>
      </c>
      <c r="E441">
        <v>6</v>
      </c>
      <c r="F441">
        <v>3200</v>
      </c>
      <c r="G441" s="2">
        <f t="shared" si="18"/>
        <v>19200</v>
      </c>
      <c r="H441" t="str">
        <f t="shared" si="19"/>
        <v>High</v>
      </c>
      <c r="I441" t="s">
        <v>11</v>
      </c>
      <c r="L441" t="s">
        <v>15</v>
      </c>
      <c r="M441" s="3">
        <f t="shared" si="20"/>
        <v>2145050</v>
      </c>
    </row>
    <row r="442" spans="1:13" ht="15.75" x14ac:dyDescent="0.3">
      <c r="A442" s="1">
        <v>45298</v>
      </c>
      <c r="B442" t="s">
        <v>19</v>
      </c>
      <c r="C442" t="s">
        <v>22</v>
      </c>
      <c r="D442" t="s">
        <v>20</v>
      </c>
      <c r="E442">
        <v>7</v>
      </c>
      <c r="F442">
        <v>150</v>
      </c>
      <c r="G442" s="2">
        <f t="shared" si="18"/>
        <v>1050</v>
      </c>
      <c r="H442" t="str">
        <f t="shared" si="19"/>
        <v>Low</v>
      </c>
      <c r="I442" t="s">
        <v>14</v>
      </c>
      <c r="L442" t="s">
        <v>19</v>
      </c>
      <c r="M442" s="3">
        <f t="shared" si="20"/>
        <v>2179300</v>
      </c>
    </row>
    <row r="443" spans="1:13" ht="15.75" x14ac:dyDescent="0.3">
      <c r="A443" s="1">
        <v>45419</v>
      </c>
      <c r="B443" t="s">
        <v>9</v>
      </c>
      <c r="C443" t="s">
        <v>22</v>
      </c>
      <c r="D443" t="s">
        <v>17</v>
      </c>
      <c r="E443">
        <v>10</v>
      </c>
      <c r="F443">
        <v>8500</v>
      </c>
      <c r="G443" s="2">
        <f t="shared" si="18"/>
        <v>85000</v>
      </c>
      <c r="H443" t="str">
        <f t="shared" si="19"/>
        <v>High</v>
      </c>
      <c r="I443" t="s">
        <v>14</v>
      </c>
      <c r="L443" t="s">
        <v>9</v>
      </c>
      <c r="M443" s="3">
        <f t="shared" si="20"/>
        <v>1849750</v>
      </c>
    </row>
    <row r="444" spans="1:13" ht="15.75" x14ac:dyDescent="0.3">
      <c r="A444" s="1">
        <v>45523</v>
      </c>
      <c r="B444" t="s">
        <v>26</v>
      </c>
      <c r="C444" t="s">
        <v>22</v>
      </c>
      <c r="D444" t="s">
        <v>20</v>
      </c>
      <c r="E444">
        <v>10</v>
      </c>
      <c r="F444">
        <v>4500</v>
      </c>
      <c r="G444" s="2">
        <f t="shared" si="18"/>
        <v>45000</v>
      </c>
      <c r="H444" t="str">
        <f t="shared" si="19"/>
        <v>High</v>
      </c>
      <c r="I444" t="s">
        <v>8</v>
      </c>
      <c r="L444" t="s">
        <v>26</v>
      </c>
      <c r="M444" s="3">
        <f t="shared" si="20"/>
        <v>2430500</v>
      </c>
    </row>
    <row r="445" spans="1:13" ht="15.75" x14ac:dyDescent="0.3">
      <c r="A445" s="1">
        <v>45543</v>
      </c>
      <c r="B445" t="s">
        <v>15</v>
      </c>
      <c r="C445" t="s">
        <v>22</v>
      </c>
      <c r="D445" t="s">
        <v>18</v>
      </c>
      <c r="E445">
        <v>10</v>
      </c>
      <c r="F445">
        <v>8500</v>
      </c>
      <c r="G445" s="2">
        <f t="shared" si="18"/>
        <v>85000</v>
      </c>
      <c r="H445" t="str">
        <f t="shared" si="19"/>
        <v>High</v>
      </c>
      <c r="I445" t="s">
        <v>14</v>
      </c>
      <c r="L445" t="s">
        <v>15</v>
      </c>
      <c r="M445" s="3">
        <f t="shared" si="20"/>
        <v>2145050</v>
      </c>
    </row>
    <row r="446" spans="1:13" ht="15.75" x14ac:dyDescent="0.3">
      <c r="A446" s="1">
        <v>45602</v>
      </c>
      <c r="B446" t="s">
        <v>12</v>
      </c>
      <c r="C446" t="s">
        <v>16</v>
      </c>
      <c r="D446" t="s">
        <v>7</v>
      </c>
      <c r="E446">
        <v>10</v>
      </c>
      <c r="F446">
        <v>3200</v>
      </c>
      <c r="G446" s="2">
        <f t="shared" si="18"/>
        <v>32000</v>
      </c>
      <c r="H446" t="str">
        <f t="shared" si="19"/>
        <v>High</v>
      </c>
      <c r="I446" t="s">
        <v>14</v>
      </c>
      <c r="L446" t="s">
        <v>12</v>
      </c>
      <c r="M446" s="3">
        <f t="shared" si="20"/>
        <v>2865050</v>
      </c>
    </row>
    <row r="447" spans="1:13" ht="15.75" x14ac:dyDescent="0.3">
      <c r="A447" s="1">
        <v>45426</v>
      </c>
      <c r="B447" t="s">
        <v>19</v>
      </c>
      <c r="C447" t="s">
        <v>22</v>
      </c>
      <c r="D447" t="s">
        <v>17</v>
      </c>
      <c r="E447">
        <v>1</v>
      </c>
      <c r="F447">
        <v>150</v>
      </c>
      <c r="G447" s="2">
        <f t="shared" si="18"/>
        <v>150</v>
      </c>
      <c r="H447" t="str">
        <f t="shared" si="19"/>
        <v>Low</v>
      </c>
      <c r="I447" t="s">
        <v>14</v>
      </c>
      <c r="L447" t="s">
        <v>19</v>
      </c>
      <c r="M447" s="3">
        <f t="shared" si="20"/>
        <v>2179300</v>
      </c>
    </row>
    <row r="448" spans="1:13" ht="15.75" x14ac:dyDescent="0.3">
      <c r="A448" s="1">
        <v>45326</v>
      </c>
      <c r="B448" t="s">
        <v>9</v>
      </c>
      <c r="C448" t="s">
        <v>16</v>
      </c>
      <c r="D448" t="s">
        <v>17</v>
      </c>
      <c r="E448">
        <v>7</v>
      </c>
      <c r="F448">
        <v>4500</v>
      </c>
      <c r="G448" s="2">
        <f t="shared" si="18"/>
        <v>31500</v>
      </c>
      <c r="H448" t="str">
        <f t="shared" si="19"/>
        <v>High</v>
      </c>
      <c r="I448" t="s">
        <v>8</v>
      </c>
      <c r="L448" t="s">
        <v>9</v>
      </c>
      <c r="M448" s="3">
        <f t="shared" si="20"/>
        <v>1849750</v>
      </c>
    </row>
    <row r="449" spans="1:13" ht="15.75" x14ac:dyDescent="0.3">
      <c r="A449" s="1">
        <v>45296</v>
      </c>
      <c r="B449" t="s">
        <v>25</v>
      </c>
      <c r="C449" t="s">
        <v>6</v>
      </c>
      <c r="D449" t="s">
        <v>7</v>
      </c>
      <c r="E449">
        <v>6</v>
      </c>
      <c r="F449">
        <v>4500</v>
      </c>
      <c r="G449" s="2">
        <f t="shared" si="18"/>
        <v>27000</v>
      </c>
      <c r="H449" t="str">
        <f t="shared" si="19"/>
        <v>High</v>
      </c>
      <c r="I449" t="s">
        <v>14</v>
      </c>
      <c r="L449" t="s">
        <v>25</v>
      </c>
      <c r="M449" s="3">
        <f t="shared" si="20"/>
        <v>2243250</v>
      </c>
    </row>
    <row r="450" spans="1:13" ht="15.75" x14ac:dyDescent="0.3">
      <c r="A450" s="1">
        <v>45394</v>
      </c>
      <c r="B450" t="s">
        <v>23</v>
      </c>
      <c r="C450" t="s">
        <v>21</v>
      </c>
      <c r="D450" t="s">
        <v>20</v>
      </c>
      <c r="E450">
        <v>5</v>
      </c>
      <c r="F450">
        <v>150</v>
      </c>
      <c r="G450" s="2">
        <f t="shared" si="18"/>
        <v>750</v>
      </c>
      <c r="H450" t="str">
        <f t="shared" si="19"/>
        <v>Low</v>
      </c>
      <c r="I450" t="s">
        <v>14</v>
      </c>
      <c r="L450" t="s">
        <v>23</v>
      </c>
      <c r="M450" s="3">
        <f t="shared" si="20"/>
        <v>2202100</v>
      </c>
    </row>
    <row r="451" spans="1:13" ht="15.75" x14ac:dyDescent="0.3">
      <c r="A451" s="1">
        <v>45499</v>
      </c>
      <c r="B451" t="s">
        <v>15</v>
      </c>
      <c r="C451" t="s">
        <v>16</v>
      </c>
      <c r="D451" t="s">
        <v>18</v>
      </c>
      <c r="E451">
        <v>1</v>
      </c>
      <c r="F451">
        <v>8500</v>
      </c>
      <c r="G451" s="2">
        <f t="shared" ref="G451:G514" si="21">E451*F451</f>
        <v>8500</v>
      </c>
      <c r="H451" t="str">
        <f t="shared" ref="H451:H514" si="22">IF(G451&gt;=10000,"High","Low")</f>
        <v>Low</v>
      </c>
      <c r="I451" t="s">
        <v>14</v>
      </c>
      <c r="L451" t="s">
        <v>15</v>
      </c>
      <c r="M451" s="3">
        <f t="shared" ref="M451:M514" si="23">SUMIF(B:B,L451,G:G)</f>
        <v>2145050</v>
      </c>
    </row>
    <row r="452" spans="1:13" ht="15.75" x14ac:dyDescent="0.3">
      <c r="A452" s="1">
        <v>45356</v>
      </c>
      <c r="B452" t="s">
        <v>26</v>
      </c>
      <c r="C452" t="s">
        <v>21</v>
      </c>
      <c r="D452" t="s">
        <v>7</v>
      </c>
      <c r="E452">
        <v>7</v>
      </c>
      <c r="F452">
        <v>3200</v>
      </c>
      <c r="G452" s="2">
        <f t="shared" si="21"/>
        <v>22400</v>
      </c>
      <c r="H452" t="str">
        <f t="shared" si="22"/>
        <v>High</v>
      </c>
      <c r="I452" t="s">
        <v>14</v>
      </c>
      <c r="L452" t="s">
        <v>26</v>
      </c>
      <c r="M452" s="3">
        <f t="shared" si="23"/>
        <v>2430500</v>
      </c>
    </row>
    <row r="453" spans="1:13" ht="15.75" x14ac:dyDescent="0.3">
      <c r="A453" s="1">
        <v>45625</v>
      </c>
      <c r="B453" t="s">
        <v>24</v>
      </c>
      <c r="C453" t="s">
        <v>16</v>
      </c>
      <c r="D453" t="s">
        <v>7</v>
      </c>
      <c r="E453">
        <v>2</v>
      </c>
      <c r="F453">
        <v>150</v>
      </c>
      <c r="G453" s="2">
        <f t="shared" si="21"/>
        <v>300</v>
      </c>
      <c r="H453" t="str">
        <f t="shared" si="22"/>
        <v>Low</v>
      </c>
      <c r="I453" t="s">
        <v>14</v>
      </c>
      <c r="L453" t="s">
        <v>24</v>
      </c>
      <c r="M453" s="3">
        <f t="shared" si="23"/>
        <v>2514250</v>
      </c>
    </row>
    <row r="454" spans="1:13" ht="15.75" x14ac:dyDescent="0.3">
      <c r="A454" s="1">
        <v>45623</v>
      </c>
      <c r="B454" t="s">
        <v>12</v>
      </c>
      <c r="C454" t="s">
        <v>22</v>
      </c>
      <c r="D454" t="s">
        <v>20</v>
      </c>
      <c r="E454">
        <v>6</v>
      </c>
      <c r="F454">
        <v>150</v>
      </c>
      <c r="G454" s="2">
        <f t="shared" si="21"/>
        <v>900</v>
      </c>
      <c r="H454" t="str">
        <f t="shared" si="22"/>
        <v>Low</v>
      </c>
      <c r="I454" t="s">
        <v>11</v>
      </c>
      <c r="L454" t="s">
        <v>12</v>
      </c>
      <c r="M454" s="3">
        <f t="shared" si="23"/>
        <v>2865050</v>
      </c>
    </row>
    <row r="455" spans="1:13" ht="15.75" x14ac:dyDescent="0.3">
      <c r="A455" s="1">
        <v>45299</v>
      </c>
      <c r="B455" t="s">
        <v>25</v>
      </c>
      <c r="C455" t="s">
        <v>16</v>
      </c>
      <c r="D455" t="s">
        <v>17</v>
      </c>
      <c r="E455">
        <v>6</v>
      </c>
      <c r="F455">
        <v>8500</v>
      </c>
      <c r="G455" s="2">
        <f t="shared" si="21"/>
        <v>51000</v>
      </c>
      <c r="H455" t="str">
        <f t="shared" si="22"/>
        <v>High</v>
      </c>
      <c r="I455" t="s">
        <v>8</v>
      </c>
      <c r="L455" t="s">
        <v>25</v>
      </c>
      <c r="M455" s="3">
        <f t="shared" si="23"/>
        <v>2243250</v>
      </c>
    </row>
    <row r="456" spans="1:13" ht="15.75" x14ac:dyDescent="0.3">
      <c r="A456" s="1">
        <v>45542</v>
      </c>
      <c r="B456" t="s">
        <v>19</v>
      </c>
      <c r="C456" t="s">
        <v>6</v>
      </c>
      <c r="D456" t="s">
        <v>18</v>
      </c>
      <c r="E456">
        <v>9</v>
      </c>
      <c r="F456">
        <v>4500</v>
      </c>
      <c r="G456" s="2">
        <f t="shared" si="21"/>
        <v>40500</v>
      </c>
      <c r="H456" t="str">
        <f t="shared" si="22"/>
        <v>High</v>
      </c>
      <c r="I456" t="s">
        <v>8</v>
      </c>
      <c r="L456" t="s">
        <v>19</v>
      </c>
      <c r="M456" s="3">
        <f t="shared" si="23"/>
        <v>2179300</v>
      </c>
    </row>
    <row r="457" spans="1:13" ht="15.75" x14ac:dyDescent="0.3">
      <c r="A457" s="1">
        <v>45653</v>
      </c>
      <c r="B457" t="s">
        <v>23</v>
      </c>
      <c r="C457" t="s">
        <v>16</v>
      </c>
      <c r="D457" t="s">
        <v>18</v>
      </c>
      <c r="E457">
        <v>6</v>
      </c>
      <c r="F457">
        <v>3200</v>
      </c>
      <c r="G457" s="2">
        <f t="shared" si="21"/>
        <v>19200</v>
      </c>
      <c r="H457" t="str">
        <f t="shared" si="22"/>
        <v>High</v>
      </c>
      <c r="I457" t="s">
        <v>8</v>
      </c>
      <c r="L457" t="s">
        <v>23</v>
      </c>
      <c r="M457" s="3">
        <f t="shared" si="23"/>
        <v>2202100</v>
      </c>
    </row>
    <row r="458" spans="1:13" ht="15.75" x14ac:dyDescent="0.3">
      <c r="A458" s="1">
        <v>45507</v>
      </c>
      <c r="B458" t="s">
        <v>23</v>
      </c>
      <c r="C458" t="s">
        <v>13</v>
      </c>
      <c r="D458" t="s">
        <v>20</v>
      </c>
      <c r="E458">
        <v>6</v>
      </c>
      <c r="F458">
        <v>3200</v>
      </c>
      <c r="G458" s="2">
        <f t="shared" si="21"/>
        <v>19200</v>
      </c>
      <c r="H458" t="str">
        <f t="shared" si="22"/>
        <v>High</v>
      </c>
      <c r="I458" t="s">
        <v>8</v>
      </c>
      <c r="L458" t="s">
        <v>23</v>
      </c>
      <c r="M458" s="3">
        <f t="shared" si="23"/>
        <v>2202100</v>
      </c>
    </row>
    <row r="459" spans="1:13" ht="15.75" x14ac:dyDescent="0.3">
      <c r="A459" s="1">
        <v>45321</v>
      </c>
      <c r="B459" t="s">
        <v>25</v>
      </c>
      <c r="C459" t="s">
        <v>16</v>
      </c>
      <c r="D459" t="s">
        <v>18</v>
      </c>
      <c r="E459">
        <v>1</v>
      </c>
      <c r="F459">
        <v>8500</v>
      </c>
      <c r="G459" s="2">
        <f t="shared" si="21"/>
        <v>8500</v>
      </c>
      <c r="H459" t="str">
        <f t="shared" si="22"/>
        <v>Low</v>
      </c>
      <c r="I459" t="s">
        <v>8</v>
      </c>
      <c r="L459" t="s">
        <v>25</v>
      </c>
      <c r="M459" s="3">
        <f t="shared" si="23"/>
        <v>2243250</v>
      </c>
    </row>
    <row r="460" spans="1:13" ht="15.75" x14ac:dyDescent="0.3">
      <c r="A460" s="1">
        <v>45366</v>
      </c>
      <c r="B460" t="s">
        <v>12</v>
      </c>
      <c r="C460" t="s">
        <v>16</v>
      </c>
      <c r="D460" t="s">
        <v>7</v>
      </c>
      <c r="E460">
        <v>10</v>
      </c>
      <c r="F460">
        <v>3200</v>
      </c>
      <c r="G460" s="2">
        <f t="shared" si="21"/>
        <v>32000</v>
      </c>
      <c r="H460" t="str">
        <f t="shared" si="22"/>
        <v>High</v>
      </c>
      <c r="I460" t="s">
        <v>11</v>
      </c>
      <c r="L460" t="s">
        <v>12</v>
      </c>
      <c r="M460" s="3">
        <f t="shared" si="23"/>
        <v>2865050</v>
      </c>
    </row>
    <row r="461" spans="1:13" ht="15.75" x14ac:dyDescent="0.3">
      <c r="A461" s="1">
        <v>45596</v>
      </c>
      <c r="B461" t="s">
        <v>23</v>
      </c>
      <c r="C461" t="s">
        <v>22</v>
      </c>
      <c r="D461" t="s">
        <v>10</v>
      </c>
      <c r="E461">
        <v>8</v>
      </c>
      <c r="F461">
        <v>150</v>
      </c>
      <c r="G461" s="2">
        <f t="shared" si="21"/>
        <v>1200</v>
      </c>
      <c r="H461" t="str">
        <f t="shared" si="22"/>
        <v>Low</v>
      </c>
      <c r="I461" t="s">
        <v>14</v>
      </c>
      <c r="L461" t="s">
        <v>23</v>
      </c>
      <c r="M461" s="3">
        <f t="shared" si="23"/>
        <v>2202100</v>
      </c>
    </row>
    <row r="462" spans="1:13" ht="15.75" x14ac:dyDescent="0.3">
      <c r="A462" s="1">
        <v>45315</v>
      </c>
      <c r="B462" t="s">
        <v>25</v>
      </c>
      <c r="C462" t="s">
        <v>21</v>
      </c>
      <c r="D462" t="s">
        <v>20</v>
      </c>
      <c r="E462">
        <v>3</v>
      </c>
      <c r="F462">
        <v>300</v>
      </c>
      <c r="G462" s="2">
        <f t="shared" si="21"/>
        <v>900</v>
      </c>
      <c r="H462" t="str">
        <f t="shared" si="22"/>
        <v>Low</v>
      </c>
      <c r="I462" t="s">
        <v>8</v>
      </c>
      <c r="L462" t="s">
        <v>25</v>
      </c>
      <c r="M462" s="3">
        <f t="shared" si="23"/>
        <v>2243250</v>
      </c>
    </row>
    <row r="463" spans="1:13" ht="15.75" x14ac:dyDescent="0.3">
      <c r="A463" s="1">
        <v>45583</v>
      </c>
      <c r="B463" t="s">
        <v>24</v>
      </c>
      <c r="C463" t="s">
        <v>6</v>
      </c>
      <c r="D463" t="s">
        <v>7</v>
      </c>
      <c r="E463">
        <v>8</v>
      </c>
      <c r="F463">
        <v>8500</v>
      </c>
      <c r="G463" s="2">
        <f t="shared" si="21"/>
        <v>68000</v>
      </c>
      <c r="H463" t="str">
        <f t="shared" si="22"/>
        <v>High</v>
      </c>
      <c r="I463" t="s">
        <v>14</v>
      </c>
      <c r="L463" t="s">
        <v>24</v>
      </c>
      <c r="M463" s="3">
        <f t="shared" si="23"/>
        <v>2514250</v>
      </c>
    </row>
    <row r="464" spans="1:13" ht="15.75" x14ac:dyDescent="0.3">
      <c r="A464" s="1">
        <v>45329</v>
      </c>
      <c r="B464" t="s">
        <v>24</v>
      </c>
      <c r="C464" t="s">
        <v>22</v>
      </c>
      <c r="D464" t="s">
        <v>20</v>
      </c>
      <c r="E464">
        <v>10</v>
      </c>
      <c r="F464">
        <v>150</v>
      </c>
      <c r="G464" s="2">
        <f t="shared" si="21"/>
        <v>1500</v>
      </c>
      <c r="H464" t="str">
        <f t="shared" si="22"/>
        <v>Low</v>
      </c>
      <c r="I464" t="s">
        <v>11</v>
      </c>
      <c r="L464" t="s">
        <v>24</v>
      </c>
      <c r="M464" s="3">
        <f t="shared" si="23"/>
        <v>2514250</v>
      </c>
    </row>
    <row r="465" spans="1:13" ht="15.75" x14ac:dyDescent="0.3">
      <c r="A465" s="1">
        <v>45552</v>
      </c>
      <c r="B465" t="s">
        <v>26</v>
      </c>
      <c r="C465" t="s">
        <v>22</v>
      </c>
      <c r="D465" t="s">
        <v>17</v>
      </c>
      <c r="E465">
        <v>2</v>
      </c>
      <c r="F465">
        <v>8500</v>
      </c>
      <c r="G465" s="2">
        <f t="shared" si="21"/>
        <v>17000</v>
      </c>
      <c r="H465" t="str">
        <f t="shared" si="22"/>
        <v>High</v>
      </c>
      <c r="I465" t="s">
        <v>8</v>
      </c>
      <c r="L465" t="s">
        <v>26</v>
      </c>
      <c r="M465" s="3">
        <f t="shared" si="23"/>
        <v>2430500</v>
      </c>
    </row>
    <row r="466" spans="1:13" ht="15.75" x14ac:dyDescent="0.3">
      <c r="A466" s="1">
        <v>45459</v>
      </c>
      <c r="B466" t="s">
        <v>23</v>
      </c>
      <c r="C466" t="s">
        <v>13</v>
      </c>
      <c r="D466" t="s">
        <v>17</v>
      </c>
      <c r="E466">
        <v>6</v>
      </c>
      <c r="F466">
        <v>4500</v>
      </c>
      <c r="G466" s="2">
        <f t="shared" si="21"/>
        <v>27000</v>
      </c>
      <c r="H466" t="str">
        <f t="shared" si="22"/>
        <v>High</v>
      </c>
      <c r="I466" t="s">
        <v>14</v>
      </c>
      <c r="L466" t="s">
        <v>23</v>
      </c>
      <c r="M466" s="3">
        <f t="shared" si="23"/>
        <v>2202100</v>
      </c>
    </row>
    <row r="467" spans="1:13" ht="15.75" x14ac:dyDescent="0.3">
      <c r="A467" s="1">
        <v>45628</v>
      </c>
      <c r="B467" t="s">
        <v>12</v>
      </c>
      <c r="C467" t="s">
        <v>6</v>
      </c>
      <c r="D467" t="s">
        <v>18</v>
      </c>
      <c r="E467">
        <v>4</v>
      </c>
      <c r="F467">
        <v>4500</v>
      </c>
      <c r="G467" s="2">
        <f t="shared" si="21"/>
        <v>18000</v>
      </c>
      <c r="H467" t="str">
        <f t="shared" si="22"/>
        <v>High</v>
      </c>
      <c r="I467" t="s">
        <v>14</v>
      </c>
      <c r="L467" t="s">
        <v>12</v>
      </c>
      <c r="M467" s="3">
        <f t="shared" si="23"/>
        <v>2865050</v>
      </c>
    </row>
    <row r="468" spans="1:13" ht="15.75" x14ac:dyDescent="0.3">
      <c r="A468" s="1">
        <v>45335</v>
      </c>
      <c r="B468" t="s">
        <v>26</v>
      </c>
      <c r="C468" t="s">
        <v>16</v>
      </c>
      <c r="D468" t="s">
        <v>18</v>
      </c>
      <c r="E468">
        <v>2</v>
      </c>
      <c r="F468">
        <v>3200</v>
      </c>
      <c r="G468" s="2">
        <f t="shared" si="21"/>
        <v>6400</v>
      </c>
      <c r="H468" t="str">
        <f t="shared" si="22"/>
        <v>Low</v>
      </c>
      <c r="I468" t="s">
        <v>8</v>
      </c>
      <c r="L468" t="s">
        <v>26</v>
      </c>
      <c r="M468" s="3">
        <f t="shared" si="23"/>
        <v>2430500</v>
      </c>
    </row>
    <row r="469" spans="1:13" ht="15.75" x14ac:dyDescent="0.3">
      <c r="A469" s="1">
        <v>45537</v>
      </c>
      <c r="B469" t="s">
        <v>12</v>
      </c>
      <c r="C469" t="s">
        <v>13</v>
      </c>
      <c r="D469" t="s">
        <v>20</v>
      </c>
      <c r="E469">
        <v>9</v>
      </c>
      <c r="F469">
        <v>3200</v>
      </c>
      <c r="G469" s="2">
        <f t="shared" si="21"/>
        <v>28800</v>
      </c>
      <c r="H469" t="str">
        <f t="shared" si="22"/>
        <v>High</v>
      </c>
      <c r="I469" t="s">
        <v>11</v>
      </c>
      <c r="L469" t="s">
        <v>12</v>
      </c>
      <c r="M469" s="3">
        <f t="shared" si="23"/>
        <v>2865050</v>
      </c>
    </row>
    <row r="470" spans="1:13" ht="15.75" x14ac:dyDescent="0.3">
      <c r="A470" s="1">
        <v>45419</v>
      </c>
      <c r="B470" t="s">
        <v>19</v>
      </c>
      <c r="C470" t="s">
        <v>13</v>
      </c>
      <c r="D470" t="s">
        <v>17</v>
      </c>
      <c r="E470">
        <v>3</v>
      </c>
      <c r="F470">
        <v>8500</v>
      </c>
      <c r="G470" s="2">
        <f t="shared" si="21"/>
        <v>25500</v>
      </c>
      <c r="H470" t="str">
        <f t="shared" si="22"/>
        <v>High</v>
      </c>
      <c r="I470" t="s">
        <v>14</v>
      </c>
      <c r="L470" t="s">
        <v>19</v>
      </c>
      <c r="M470" s="3">
        <f t="shared" si="23"/>
        <v>2179300</v>
      </c>
    </row>
    <row r="471" spans="1:13" ht="15.75" x14ac:dyDescent="0.3">
      <c r="A471" s="1">
        <v>45562</v>
      </c>
      <c r="B471" t="s">
        <v>25</v>
      </c>
      <c r="C471" t="s">
        <v>16</v>
      </c>
      <c r="D471" t="s">
        <v>17</v>
      </c>
      <c r="E471">
        <v>5</v>
      </c>
      <c r="F471">
        <v>4500</v>
      </c>
      <c r="G471" s="2">
        <f t="shared" si="21"/>
        <v>22500</v>
      </c>
      <c r="H471" t="str">
        <f t="shared" si="22"/>
        <v>High</v>
      </c>
      <c r="I471" t="s">
        <v>11</v>
      </c>
      <c r="L471" t="s">
        <v>25</v>
      </c>
      <c r="M471" s="3">
        <f t="shared" si="23"/>
        <v>2243250</v>
      </c>
    </row>
    <row r="472" spans="1:13" ht="15.75" x14ac:dyDescent="0.3">
      <c r="A472" s="1">
        <v>45537</v>
      </c>
      <c r="B472" t="s">
        <v>12</v>
      </c>
      <c r="C472" t="s">
        <v>22</v>
      </c>
      <c r="D472" t="s">
        <v>7</v>
      </c>
      <c r="E472">
        <v>10</v>
      </c>
      <c r="F472">
        <v>4500</v>
      </c>
      <c r="G472" s="2">
        <f t="shared" si="21"/>
        <v>45000</v>
      </c>
      <c r="H472" t="str">
        <f t="shared" si="22"/>
        <v>High</v>
      </c>
      <c r="I472" t="s">
        <v>11</v>
      </c>
      <c r="L472" t="s">
        <v>12</v>
      </c>
      <c r="M472" s="3">
        <f t="shared" si="23"/>
        <v>2865050</v>
      </c>
    </row>
    <row r="473" spans="1:13" ht="15.75" x14ac:dyDescent="0.3">
      <c r="A473" s="1">
        <v>45379</v>
      </c>
      <c r="B473" t="s">
        <v>9</v>
      </c>
      <c r="C473" t="s">
        <v>21</v>
      </c>
      <c r="D473" t="s">
        <v>18</v>
      </c>
      <c r="E473">
        <v>5</v>
      </c>
      <c r="F473">
        <v>150</v>
      </c>
      <c r="G473" s="2">
        <f t="shared" si="21"/>
        <v>750</v>
      </c>
      <c r="H473" t="str">
        <f t="shared" si="22"/>
        <v>Low</v>
      </c>
      <c r="I473" t="s">
        <v>14</v>
      </c>
      <c r="L473" t="s">
        <v>9</v>
      </c>
      <c r="M473" s="3">
        <f t="shared" si="23"/>
        <v>1849750</v>
      </c>
    </row>
    <row r="474" spans="1:13" ht="15.75" x14ac:dyDescent="0.3">
      <c r="A474" s="1">
        <v>45429</v>
      </c>
      <c r="B474" t="s">
        <v>9</v>
      </c>
      <c r="C474" t="s">
        <v>22</v>
      </c>
      <c r="D474" t="s">
        <v>17</v>
      </c>
      <c r="E474">
        <v>7</v>
      </c>
      <c r="F474">
        <v>3200</v>
      </c>
      <c r="G474" s="2">
        <f t="shared" si="21"/>
        <v>22400</v>
      </c>
      <c r="H474" t="str">
        <f t="shared" si="22"/>
        <v>High</v>
      </c>
      <c r="I474" t="s">
        <v>11</v>
      </c>
      <c r="L474" t="s">
        <v>9</v>
      </c>
      <c r="M474" s="3">
        <f t="shared" si="23"/>
        <v>1849750</v>
      </c>
    </row>
    <row r="475" spans="1:13" ht="15.75" x14ac:dyDescent="0.3">
      <c r="A475" s="1">
        <v>45317</v>
      </c>
      <c r="B475" t="s">
        <v>24</v>
      </c>
      <c r="C475" t="s">
        <v>6</v>
      </c>
      <c r="D475" t="s">
        <v>17</v>
      </c>
      <c r="E475">
        <v>1</v>
      </c>
      <c r="F475">
        <v>4500</v>
      </c>
      <c r="G475" s="2">
        <f t="shared" si="21"/>
        <v>4500</v>
      </c>
      <c r="H475" t="str">
        <f t="shared" si="22"/>
        <v>Low</v>
      </c>
      <c r="I475" t="s">
        <v>11</v>
      </c>
      <c r="L475" t="s">
        <v>24</v>
      </c>
      <c r="M475" s="3">
        <f t="shared" si="23"/>
        <v>2514250</v>
      </c>
    </row>
    <row r="476" spans="1:13" ht="15.75" x14ac:dyDescent="0.3">
      <c r="A476" s="1">
        <v>45619</v>
      </c>
      <c r="B476" t="s">
        <v>25</v>
      </c>
      <c r="C476" t="s">
        <v>13</v>
      </c>
      <c r="D476" t="s">
        <v>17</v>
      </c>
      <c r="E476">
        <v>9</v>
      </c>
      <c r="F476">
        <v>4500</v>
      </c>
      <c r="G476" s="2">
        <f t="shared" si="21"/>
        <v>40500</v>
      </c>
      <c r="H476" t="str">
        <f t="shared" si="22"/>
        <v>High</v>
      </c>
      <c r="I476" t="s">
        <v>11</v>
      </c>
      <c r="L476" t="s">
        <v>25</v>
      </c>
      <c r="M476" s="3">
        <f t="shared" si="23"/>
        <v>2243250</v>
      </c>
    </row>
    <row r="477" spans="1:13" ht="15.75" x14ac:dyDescent="0.3">
      <c r="A477" s="1">
        <v>45426</v>
      </c>
      <c r="B477" t="s">
        <v>26</v>
      </c>
      <c r="C477" t="s">
        <v>6</v>
      </c>
      <c r="D477" t="s">
        <v>7</v>
      </c>
      <c r="E477">
        <v>8</v>
      </c>
      <c r="F477">
        <v>4500</v>
      </c>
      <c r="G477" s="2">
        <f t="shared" si="21"/>
        <v>36000</v>
      </c>
      <c r="H477" t="str">
        <f t="shared" si="22"/>
        <v>High</v>
      </c>
      <c r="I477" t="s">
        <v>11</v>
      </c>
      <c r="L477" t="s">
        <v>26</v>
      </c>
      <c r="M477" s="3">
        <f t="shared" si="23"/>
        <v>2430500</v>
      </c>
    </row>
    <row r="478" spans="1:13" ht="15.75" x14ac:dyDescent="0.3">
      <c r="A478" s="1">
        <v>45410</v>
      </c>
      <c r="B478" t="s">
        <v>24</v>
      </c>
      <c r="C478" t="s">
        <v>22</v>
      </c>
      <c r="D478" t="s">
        <v>10</v>
      </c>
      <c r="E478">
        <v>3</v>
      </c>
      <c r="F478">
        <v>150</v>
      </c>
      <c r="G478" s="2">
        <f t="shared" si="21"/>
        <v>450</v>
      </c>
      <c r="H478" t="str">
        <f t="shared" si="22"/>
        <v>Low</v>
      </c>
      <c r="I478" t="s">
        <v>8</v>
      </c>
      <c r="L478" t="s">
        <v>24</v>
      </c>
      <c r="M478" s="3">
        <f t="shared" si="23"/>
        <v>2514250</v>
      </c>
    </row>
    <row r="479" spans="1:13" ht="15.75" x14ac:dyDescent="0.3">
      <c r="A479" s="1">
        <v>45385</v>
      </c>
      <c r="B479" t="s">
        <v>23</v>
      </c>
      <c r="C479" t="s">
        <v>13</v>
      </c>
      <c r="D479" t="s">
        <v>7</v>
      </c>
      <c r="E479">
        <v>1</v>
      </c>
      <c r="F479">
        <v>300</v>
      </c>
      <c r="G479" s="2">
        <f t="shared" si="21"/>
        <v>300</v>
      </c>
      <c r="H479" t="str">
        <f t="shared" si="22"/>
        <v>Low</v>
      </c>
      <c r="I479" t="s">
        <v>14</v>
      </c>
      <c r="L479" t="s">
        <v>23</v>
      </c>
      <c r="M479" s="3">
        <f t="shared" si="23"/>
        <v>2202100</v>
      </c>
    </row>
    <row r="480" spans="1:13" ht="15.75" x14ac:dyDescent="0.3">
      <c r="A480" s="1">
        <v>45566</v>
      </c>
      <c r="B480" t="s">
        <v>19</v>
      </c>
      <c r="C480" t="s">
        <v>16</v>
      </c>
      <c r="D480" t="s">
        <v>18</v>
      </c>
      <c r="E480">
        <v>6</v>
      </c>
      <c r="F480">
        <v>150</v>
      </c>
      <c r="G480" s="2">
        <f t="shared" si="21"/>
        <v>900</v>
      </c>
      <c r="H480" t="str">
        <f t="shared" si="22"/>
        <v>Low</v>
      </c>
      <c r="I480" t="s">
        <v>14</v>
      </c>
      <c r="L480" t="s">
        <v>19</v>
      </c>
      <c r="M480" s="3">
        <f t="shared" si="23"/>
        <v>2179300</v>
      </c>
    </row>
    <row r="481" spans="1:13" ht="15.75" x14ac:dyDescent="0.3">
      <c r="A481" s="1">
        <v>45385</v>
      </c>
      <c r="B481" t="s">
        <v>12</v>
      </c>
      <c r="C481" t="s">
        <v>16</v>
      </c>
      <c r="D481" t="s">
        <v>7</v>
      </c>
      <c r="E481">
        <v>8</v>
      </c>
      <c r="F481">
        <v>3200</v>
      </c>
      <c r="G481" s="2">
        <f t="shared" si="21"/>
        <v>25600</v>
      </c>
      <c r="H481" t="str">
        <f t="shared" si="22"/>
        <v>High</v>
      </c>
      <c r="I481" t="s">
        <v>8</v>
      </c>
      <c r="L481" t="s">
        <v>12</v>
      </c>
      <c r="M481" s="3">
        <f t="shared" si="23"/>
        <v>2865050</v>
      </c>
    </row>
    <row r="482" spans="1:13" ht="15.75" x14ac:dyDescent="0.3">
      <c r="A482" s="1">
        <v>45383</v>
      </c>
      <c r="B482" t="s">
        <v>25</v>
      </c>
      <c r="C482" t="s">
        <v>16</v>
      </c>
      <c r="D482" t="s">
        <v>20</v>
      </c>
      <c r="E482">
        <v>3</v>
      </c>
      <c r="F482">
        <v>150</v>
      </c>
      <c r="G482" s="2">
        <f t="shared" si="21"/>
        <v>450</v>
      </c>
      <c r="H482" t="str">
        <f t="shared" si="22"/>
        <v>Low</v>
      </c>
      <c r="I482" t="s">
        <v>8</v>
      </c>
      <c r="L482" t="s">
        <v>25</v>
      </c>
      <c r="M482" s="3">
        <f t="shared" si="23"/>
        <v>2243250</v>
      </c>
    </row>
    <row r="483" spans="1:13" ht="15.75" x14ac:dyDescent="0.3">
      <c r="A483" s="1">
        <v>45469</v>
      </c>
      <c r="B483" t="s">
        <v>23</v>
      </c>
      <c r="C483" t="s">
        <v>16</v>
      </c>
      <c r="D483" t="s">
        <v>20</v>
      </c>
      <c r="E483">
        <v>3</v>
      </c>
      <c r="F483">
        <v>8500</v>
      </c>
      <c r="G483" s="2">
        <f t="shared" si="21"/>
        <v>25500</v>
      </c>
      <c r="H483" t="str">
        <f t="shared" si="22"/>
        <v>High</v>
      </c>
      <c r="I483" t="s">
        <v>11</v>
      </c>
      <c r="L483" t="s">
        <v>23</v>
      </c>
      <c r="M483" s="3">
        <f t="shared" si="23"/>
        <v>2202100</v>
      </c>
    </row>
    <row r="484" spans="1:13" ht="15.75" x14ac:dyDescent="0.3">
      <c r="A484" s="1">
        <v>45524</v>
      </c>
      <c r="B484" t="s">
        <v>26</v>
      </c>
      <c r="C484" t="s">
        <v>21</v>
      </c>
      <c r="D484" t="s">
        <v>17</v>
      </c>
      <c r="E484">
        <v>1</v>
      </c>
      <c r="F484">
        <v>8500</v>
      </c>
      <c r="G484" s="2">
        <f t="shared" si="21"/>
        <v>8500</v>
      </c>
      <c r="H484" t="str">
        <f t="shared" si="22"/>
        <v>Low</v>
      </c>
      <c r="I484" t="s">
        <v>14</v>
      </c>
      <c r="L484" t="s">
        <v>26</v>
      </c>
      <c r="M484" s="3">
        <f t="shared" si="23"/>
        <v>2430500</v>
      </c>
    </row>
    <row r="485" spans="1:13" ht="15.75" x14ac:dyDescent="0.3">
      <c r="A485" s="1">
        <v>45493</v>
      </c>
      <c r="B485" t="s">
        <v>12</v>
      </c>
      <c r="C485" t="s">
        <v>16</v>
      </c>
      <c r="D485" t="s">
        <v>20</v>
      </c>
      <c r="E485">
        <v>10</v>
      </c>
      <c r="F485">
        <v>4500</v>
      </c>
      <c r="G485" s="2">
        <f t="shared" si="21"/>
        <v>45000</v>
      </c>
      <c r="H485" t="str">
        <f t="shared" si="22"/>
        <v>High</v>
      </c>
      <c r="I485" t="s">
        <v>11</v>
      </c>
      <c r="L485" t="s">
        <v>12</v>
      </c>
      <c r="M485" s="3">
        <f t="shared" si="23"/>
        <v>2865050</v>
      </c>
    </row>
    <row r="486" spans="1:13" ht="15.75" x14ac:dyDescent="0.3">
      <c r="A486" s="1">
        <v>45345</v>
      </c>
      <c r="B486" t="s">
        <v>12</v>
      </c>
      <c r="C486" t="s">
        <v>22</v>
      </c>
      <c r="D486" t="s">
        <v>17</v>
      </c>
      <c r="E486">
        <v>7</v>
      </c>
      <c r="F486">
        <v>8500</v>
      </c>
      <c r="G486" s="2">
        <f t="shared" si="21"/>
        <v>59500</v>
      </c>
      <c r="H486" t="str">
        <f t="shared" si="22"/>
        <v>High</v>
      </c>
      <c r="I486" t="s">
        <v>14</v>
      </c>
      <c r="L486" t="s">
        <v>12</v>
      </c>
      <c r="M486" s="3">
        <f t="shared" si="23"/>
        <v>2865050</v>
      </c>
    </row>
    <row r="487" spans="1:13" ht="15.75" x14ac:dyDescent="0.3">
      <c r="A487" s="1">
        <v>45467</v>
      </c>
      <c r="B487" t="s">
        <v>9</v>
      </c>
      <c r="C487" t="s">
        <v>6</v>
      </c>
      <c r="D487" t="s">
        <v>18</v>
      </c>
      <c r="E487">
        <v>8</v>
      </c>
      <c r="F487">
        <v>4500</v>
      </c>
      <c r="G487" s="2">
        <f t="shared" si="21"/>
        <v>36000</v>
      </c>
      <c r="H487" t="str">
        <f t="shared" si="22"/>
        <v>High</v>
      </c>
      <c r="I487" t="s">
        <v>14</v>
      </c>
      <c r="L487" t="s">
        <v>9</v>
      </c>
      <c r="M487" s="3">
        <f t="shared" si="23"/>
        <v>1849750</v>
      </c>
    </row>
    <row r="488" spans="1:13" ht="15.75" x14ac:dyDescent="0.3">
      <c r="A488" s="1">
        <v>45550</v>
      </c>
      <c r="B488" t="s">
        <v>12</v>
      </c>
      <c r="C488" t="s">
        <v>16</v>
      </c>
      <c r="D488" t="s">
        <v>20</v>
      </c>
      <c r="E488">
        <v>10</v>
      </c>
      <c r="F488">
        <v>3200</v>
      </c>
      <c r="G488" s="2">
        <f t="shared" si="21"/>
        <v>32000</v>
      </c>
      <c r="H488" t="str">
        <f t="shared" si="22"/>
        <v>High</v>
      </c>
      <c r="I488" t="s">
        <v>8</v>
      </c>
      <c r="L488" t="s">
        <v>12</v>
      </c>
      <c r="M488" s="3">
        <f t="shared" si="23"/>
        <v>2865050</v>
      </c>
    </row>
    <row r="489" spans="1:13" ht="15.75" x14ac:dyDescent="0.3">
      <c r="A489" s="1">
        <v>45539</v>
      </c>
      <c r="B489" t="s">
        <v>25</v>
      </c>
      <c r="C489" t="s">
        <v>6</v>
      </c>
      <c r="D489" t="s">
        <v>10</v>
      </c>
      <c r="E489">
        <v>2</v>
      </c>
      <c r="F489">
        <v>8500</v>
      </c>
      <c r="G489" s="2">
        <f t="shared" si="21"/>
        <v>17000</v>
      </c>
      <c r="H489" t="str">
        <f t="shared" si="22"/>
        <v>High</v>
      </c>
      <c r="I489" t="s">
        <v>14</v>
      </c>
      <c r="L489" t="s">
        <v>25</v>
      </c>
      <c r="M489" s="3">
        <f t="shared" si="23"/>
        <v>2243250</v>
      </c>
    </row>
    <row r="490" spans="1:13" ht="15.75" x14ac:dyDescent="0.3">
      <c r="A490" s="1">
        <v>45411</v>
      </c>
      <c r="B490" t="s">
        <v>26</v>
      </c>
      <c r="C490" t="s">
        <v>16</v>
      </c>
      <c r="D490" t="s">
        <v>20</v>
      </c>
      <c r="E490">
        <v>7</v>
      </c>
      <c r="F490">
        <v>300</v>
      </c>
      <c r="G490" s="2">
        <f t="shared" si="21"/>
        <v>2100</v>
      </c>
      <c r="H490" t="str">
        <f t="shared" si="22"/>
        <v>Low</v>
      </c>
      <c r="I490" t="s">
        <v>14</v>
      </c>
      <c r="L490" t="s">
        <v>26</v>
      </c>
      <c r="M490" s="3">
        <f t="shared" si="23"/>
        <v>2430500</v>
      </c>
    </row>
    <row r="491" spans="1:13" ht="15.75" x14ac:dyDescent="0.3">
      <c r="A491" s="1">
        <v>45508</v>
      </c>
      <c r="B491" t="s">
        <v>24</v>
      </c>
      <c r="C491" t="s">
        <v>6</v>
      </c>
      <c r="D491" t="s">
        <v>10</v>
      </c>
      <c r="E491">
        <v>3</v>
      </c>
      <c r="F491">
        <v>8500</v>
      </c>
      <c r="G491" s="2">
        <f t="shared" si="21"/>
        <v>25500</v>
      </c>
      <c r="H491" t="str">
        <f t="shared" si="22"/>
        <v>High</v>
      </c>
      <c r="I491" t="s">
        <v>14</v>
      </c>
      <c r="L491" t="s">
        <v>24</v>
      </c>
      <c r="M491" s="3">
        <f t="shared" si="23"/>
        <v>2514250</v>
      </c>
    </row>
    <row r="492" spans="1:13" ht="15.75" x14ac:dyDescent="0.3">
      <c r="A492" s="1">
        <v>45536</v>
      </c>
      <c r="B492" t="s">
        <v>19</v>
      </c>
      <c r="C492" t="s">
        <v>6</v>
      </c>
      <c r="D492" t="s">
        <v>20</v>
      </c>
      <c r="E492">
        <v>9</v>
      </c>
      <c r="F492">
        <v>300</v>
      </c>
      <c r="G492" s="2">
        <f t="shared" si="21"/>
        <v>2700</v>
      </c>
      <c r="H492" t="str">
        <f t="shared" si="22"/>
        <v>Low</v>
      </c>
      <c r="I492" t="s">
        <v>8</v>
      </c>
      <c r="L492" t="s">
        <v>19</v>
      </c>
      <c r="M492" s="3">
        <f t="shared" si="23"/>
        <v>2179300</v>
      </c>
    </row>
    <row r="493" spans="1:13" ht="15.75" x14ac:dyDescent="0.3">
      <c r="A493" s="1">
        <v>45544</v>
      </c>
      <c r="B493" t="s">
        <v>24</v>
      </c>
      <c r="C493" t="s">
        <v>22</v>
      </c>
      <c r="D493" t="s">
        <v>7</v>
      </c>
      <c r="E493">
        <v>9</v>
      </c>
      <c r="F493">
        <v>8500</v>
      </c>
      <c r="G493" s="2">
        <f t="shared" si="21"/>
        <v>76500</v>
      </c>
      <c r="H493" t="str">
        <f t="shared" si="22"/>
        <v>High</v>
      </c>
      <c r="I493" t="s">
        <v>11</v>
      </c>
      <c r="L493" t="s">
        <v>24</v>
      </c>
      <c r="M493" s="3">
        <f t="shared" si="23"/>
        <v>2514250</v>
      </c>
    </row>
    <row r="494" spans="1:13" ht="15.75" x14ac:dyDescent="0.3">
      <c r="A494" s="1">
        <v>45652</v>
      </c>
      <c r="B494" t="s">
        <v>24</v>
      </c>
      <c r="C494" t="s">
        <v>13</v>
      </c>
      <c r="D494" t="s">
        <v>18</v>
      </c>
      <c r="E494">
        <v>2</v>
      </c>
      <c r="F494">
        <v>150</v>
      </c>
      <c r="G494" s="2">
        <f t="shared" si="21"/>
        <v>300</v>
      </c>
      <c r="H494" t="str">
        <f t="shared" si="22"/>
        <v>Low</v>
      </c>
      <c r="I494" t="s">
        <v>8</v>
      </c>
      <c r="L494" t="s">
        <v>24</v>
      </c>
      <c r="M494" s="3">
        <f t="shared" si="23"/>
        <v>2514250</v>
      </c>
    </row>
    <row r="495" spans="1:13" ht="15.75" x14ac:dyDescent="0.3">
      <c r="A495" s="1">
        <v>45302</v>
      </c>
      <c r="B495" t="s">
        <v>26</v>
      </c>
      <c r="C495" t="s">
        <v>13</v>
      </c>
      <c r="D495" t="s">
        <v>18</v>
      </c>
      <c r="E495">
        <v>8</v>
      </c>
      <c r="F495">
        <v>3200</v>
      </c>
      <c r="G495" s="2">
        <f t="shared" si="21"/>
        <v>25600</v>
      </c>
      <c r="H495" t="str">
        <f t="shared" si="22"/>
        <v>High</v>
      </c>
      <c r="I495" t="s">
        <v>8</v>
      </c>
      <c r="L495" t="s">
        <v>26</v>
      </c>
      <c r="M495" s="3">
        <f t="shared" si="23"/>
        <v>2430500</v>
      </c>
    </row>
    <row r="496" spans="1:13" ht="15.75" x14ac:dyDescent="0.3">
      <c r="A496" s="1">
        <v>45419</v>
      </c>
      <c r="B496" t="s">
        <v>15</v>
      </c>
      <c r="C496" t="s">
        <v>13</v>
      </c>
      <c r="D496" t="s">
        <v>7</v>
      </c>
      <c r="E496">
        <v>10</v>
      </c>
      <c r="F496">
        <v>3200</v>
      </c>
      <c r="G496" s="2">
        <f t="shared" si="21"/>
        <v>32000</v>
      </c>
      <c r="H496" t="str">
        <f t="shared" si="22"/>
        <v>High</v>
      </c>
      <c r="I496" t="s">
        <v>14</v>
      </c>
      <c r="L496" t="s">
        <v>15</v>
      </c>
      <c r="M496" s="3">
        <f t="shared" si="23"/>
        <v>2145050</v>
      </c>
    </row>
    <row r="497" spans="1:13" ht="15.75" x14ac:dyDescent="0.3">
      <c r="A497" s="1">
        <v>45477</v>
      </c>
      <c r="B497" t="s">
        <v>15</v>
      </c>
      <c r="C497" t="s">
        <v>16</v>
      </c>
      <c r="D497" t="s">
        <v>18</v>
      </c>
      <c r="E497">
        <v>7</v>
      </c>
      <c r="F497">
        <v>150</v>
      </c>
      <c r="G497" s="2">
        <f t="shared" si="21"/>
        <v>1050</v>
      </c>
      <c r="H497" t="str">
        <f t="shared" si="22"/>
        <v>Low</v>
      </c>
      <c r="I497" t="s">
        <v>8</v>
      </c>
      <c r="L497" t="s">
        <v>15</v>
      </c>
      <c r="M497" s="3">
        <f t="shared" si="23"/>
        <v>2145050</v>
      </c>
    </row>
    <row r="498" spans="1:13" ht="15.75" x14ac:dyDescent="0.3">
      <c r="A498" s="1">
        <v>45296</v>
      </c>
      <c r="B498" t="s">
        <v>12</v>
      </c>
      <c r="C498" t="s">
        <v>21</v>
      </c>
      <c r="D498" t="s">
        <v>17</v>
      </c>
      <c r="E498">
        <v>3</v>
      </c>
      <c r="F498">
        <v>3200</v>
      </c>
      <c r="G498" s="2">
        <f t="shared" si="21"/>
        <v>9600</v>
      </c>
      <c r="H498" t="str">
        <f t="shared" si="22"/>
        <v>Low</v>
      </c>
      <c r="I498" t="s">
        <v>8</v>
      </c>
      <c r="L498" t="s">
        <v>12</v>
      </c>
      <c r="M498" s="3">
        <f t="shared" si="23"/>
        <v>2865050</v>
      </c>
    </row>
    <row r="499" spans="1:13" ht="15.75" x14ac:dyDescent="0.3">
      <c r="A499" s="1">
        <v>45299</v>
      </c>
      <c r="B499" t="s">
        <v>24</v>
      </c>
      <c r="C499" t="s">
        <v>6</v>
      </c>
      <c r="D499" t="s">
        <v>17</v>
      </c>
      <c r="E499">
        <v>2</v>
      </c>
      <c r="F499">
        <v>4500</v>
      </c>
      <c r="G499" s="2">
        <f t="shared" si="21"/>
        <v>9000</v>
      </c>
      <c r="H499" t="str">
        <f t="shared" si="22"/>
        <v>Low</v>
      </c>
      <c r="I499" t="s">
        <v>11</v>
      </c>
      <c r="L499" t="s">
        <v>24</v>
      </c>
      <c r="M499" s="3">
        <f t="shared" si="23"/>
        <v>2514250</v>
      </c>
    </row>
    <row r="500" spans="1:13" ht="15.75" x14ac:dyDescent="0.3">
      <c r="A500" s="1">
        <v>45626</v>
      </c>
      <c r="B500" t="s">
        <v>9</v>
      </c>
      <c r="C500" t="s">
        <v>6</v>
      </c>
      <c r="D500" t="s">
        <v>20</v>
      </c>
      <c r="E500">
        <v>3</v>
      </c>
      <c r="F500">
        <v>4500</v>
      </c>
      <c r="G500" s="2">
        <f t="shared" si="21"/>
        <v>13500</v>
      </c>
      <c r="H500" t="str">
        <f t="shared" si="22"/>
        <v>High</v>
      </c>
      <c r="I500" t="s">
        <v>14</v>
      </c>
      <c r="L500" t="s">
        <v>9</v>
      </c>
      <c r="M500" s="3">
        <f t="shared" si="23"/>
        <v>1849750</v>
      </c>
    </row>
    <row r="501" spans="1:13" ht="15.75" x14ac:dyDescent="0.3">
      <c r="A501" s="1">
        <v>45493</v>
      </c>
      <c r="B501" t="s">
        <v>23</v>
      </c>
      <c r="C501" t="s">
        <v>22</v>
      </c>
      <c r="D501" t="s">
        <v>20</v>
      </c>
      <c r="E501">
        <v>1</v>
      </c>
      <c r="F501">
        <v>8500</v>
      </c>
      <c r="G501" s="2">
        <f t="shared" si="21"/>
        <v>8500</v>
      </c>
      <c r="H501" t="str">
        <f t="shared" si="22"/>
        <v>Low</v>
      </c>
      <c r="I501" t="s">
        <v>8</v>
      </c>
      <c r="L501" t="s">
        <v>23</v>
      </c>
      <c r="M501" s="3">
        <f t="shared" si="23"/>
        <v>2202100</v>
      </c>
    </row>
    <row r="502" spans="1:13" ht="15.75" x14ac:dyDescent="0.3">
      <c r="A502" s="1">
        <v>45400</v>
      </c>
      <c r="B502" t="s">
        <v>19</v>
      </c>
      <c r="C502" t="s">
        <v>6</v>
      </c>
      <c r="D502" t="s">
        <v>18</v>
      </c>
      <c r="E502">
        <v>1</v>
      </c>
      <c r="F502">
        <v>8500</v>
      </c>
      <c r="G502" s="2">
        <f t="shared" si="21"/>
        <v>8500</v>
      </c>
      <c r="H502" t="str">
        <f t="shared" si="22"/>
        <v>Low</v>
      </c>
      <c r="I502" t="s">
        <v>11</v>
      </c>
      <c r="L502" t="s">
        <v>19</v>
      </c>
      <c r="M502" s="3">
        <f t="shared" si="23"/>
        <v>2179300</v>
      </c>
    </row>
    <row r="503" spans="1:13" ht="15.75" x14ac:dyDescent="0.3">
      <c r="A503" s="1">
        <v>45340</v>
      </c>
      <c r="B503" t="s">
        <v>19</v>
      </c>
      <c r="C503" t="s">
        <v>13</v>
      </c>
      <c r="D503" t="s">
        <v>7</v>
      </c>
      <c r="E503">
        <v>4</v>
      </c>
      <c r="F503">
        <v>3200</v>
      </c>
      <c r="G503" s="2">
        <f t="shared" si="21"/>
        <v>12800</v>
      </c>
      <c r="H503" t="str">
        <f t="shared" si="22"/>
        <v>High</v>
      </c>
      <c r="I503" t="s">
        <v>14</v>
      </c>
      <c r="L503" t="s">
        <v>19</v>
      </c>
      <c r="M503" s="3">
        <f t="shared" si="23"/>
        <v>2179300</v>
      </c>
    </row>
    <row r="504" spans="1:13" ht="15.75" x14ac:dyDescent="0.3">
      <c r="A504" s="1">
        <v>45364</v>
      </c>
      <c r="B504" t="s">
        <v>24</v>
      </c>
      <c r="C504" t="s">
        <v>16</v>
      </c>
      <c r="D504" t="s">
        <v>20</v>
      </c>
      <c r="E504">
        <v>6</v>
      </c>
      <c r="F504">
        <v>150</v>
      </c>
      <c r="G504" s="2">
        <f t="shared" si="21"/>
        <v>900</v>
      </c>
      <c r="H504" t="str">
        <f t="shared" si="22"/>
        <v>Low</v>
      </c>
      <c r="I504" t="s">
        <v>8</v>
      </c>
      <c r="L504" t="s">
        <v>24</v>
      </c>
      <c r="M504" s="3">
        <f t="shared" si="23"/>
        <v>2514250</v>
      </c>
    </row>
    <row r="505" spans="1:13" ht="15.75" x14ac:dyDescent="0.3">
      <c r="A505" s="1">
        <v>45500</v>
      </c>
      <c r="B505" t="s">
        <v>15</v>
      </c>
      <c r="C505" t="s">
        <v>21</v>
      </c>
      <c r="D505" t="s">
        <v>18</v>
      </c>
      <c r="E505">
        <v>4</v>
      </c>
      <c r="F505">
        <v>8500</v>
      </c>
      <c r="G505" s="2">
        <f t="shared" si="21"/>
        <v>34000</v>
      </c>
      <c r="H505" t="str">
        <f t="shared" si="22"/>
        <v>High</v>
      </c>
      <c r="I505" t="s">
        <v>11</v>
      </c>
      <c r="L505" t="s">
        <v>15</v>
      </c>
      <c r="M505" s="3">
        <f t="shared" si="23"/>
        <v>2145050</v>
      </c>
    </row>
    <row r="506" spans="1:13" ht="15.75" x14ac:dyDescent="0.3">
      <c r="A506" s="1">
        <v>45564</v>
      </c>
      <c r="B506" t="s">
        <v>19</v>
      </c>
      <c r="C506" t="s">
        <v>6</v>
      </c>
      <c r="D506" t="s">
        <v>10</v>
      </c>
      <c r="E506">
        <v>3</v>
      </c>
      <c r="F506">
        <v>3200</v>
      </c>
      <c r="G506" s="2">
        <f t="shared" si="21"/>
        <v>9600</v>
      </c>
      <c r="H506" t="str">
        <f t="shared" si="22"/>
        <v>Low</v>
      </c>
      <c r="I506" t="s">
        <v>11</v>
      </c>
      <c r="L506" t="s">
        <v>19</v>
      </c>
      <c r="M506" s="3">
        <f t="shared" si="23"/>
        <v>2179300</v>
      </c>
    </row>
    <row r="507" spans="1:13" ht="15.75" x14ac:dyDescent="0.3">
      <c r="A507" s="1">
        <v>45619</v>
      </c>
      <c r="B507" t="s">
        <v>26</v>
      </c>
      <c r="C507" t="s">
        <v>6</v>
      </c>
      <c r="D507" t="s">
        <v>17</v>
      </c>
      <c r="E507">
        <v>7</v>
      </c>
      <c r="F507">
        <v>300</v>
      </c>
      <c r="G507" s="2">
        <f t="shared" si="21"/>
        <v>2100</v>
      </c>
      <c r="H507" t="str">
        <f t="shared" si="22"/>
        <v>Low</v>
      </c>
      <c r="I507" t="s">
        <v>14</v>
      </c>
      <c r="L507" t="s">
        <v>26</v>
      </c>
      <c r="M507" s="3">
        <f t="shared" si="23"/>
        <v>2430500</v>
      </c>
    </row>
    <row r="508" spans="1:13" ht="15.75" x14ac:dyDescent="0.3">
      <c r="A508" s="1">
        <v>45572</v>
      </c>
      <c r="B508" t="s">
        <v>15</v>
      </c>
      <c r="C508" t="s">
        <v>16</v>
      </c>
      <c r="D508" t="s">
        <v>7</v>
      </c>
      <c r="E508">
        <v>6</v>
      </c>
      <c r="F508">
        <v>4500</v>
      </c>
      <c r="G508" s="2">
        <f t="shared" si="21"/>
        <v>27000</v>
      </c>
      <c r="H508" t="str">
        <f t="shared" si="22"/>
        <v>High</v>
      </c>
      <c r="I508" t="s">
        <v>8</v>
      </c>
      <c r="L508" t="s">
        <v>15</v>
      </c>
      <c r="M508" s="3">
        <f t="shared" si="23"/>
        <v>2145050</v>
      </c>
    </row>
    <row r="509" spans="1:13" ht="15.75" x14ac:dyDescent="0.3">
      <c r="A509" s="1">
        <v>45612</v>
      </c>
      <c r="B509" t="s">
        <v>24</v>
      </c>
      <c r="C509" t="s">
        <v>16</v>
      </c>
      <c r="D509" t="s">
        <v>17</v>
      </c>
      <c r="E509">
        <v>4</v>
      </c>
      <c r="F509">
        <v>150</v>
      </c>
      <c r="G509" s="2">
        <f t="shared" si="21"/>
        <v>600</v>
      </c>
      <c r="H509" t="str">
        <f t="shared" si="22"/>
        <v>Low</v>
      </c>
      <c r="I509" t="s">
        <v>8</v>
      </c>
      <c r="L509" t="s">
        <v>24</v>
      </c>
      <c r="M509" s="3">
        <f t="shared" si="23"/>
        <v>2514250</v>
      </c>
    </row>
    <row r="510" spans="1:13" ht="15.75" x14ac:dyDescent="0.3">
      <c r="A510" s="1">
        <v>45505</v>
      </c>
      <c r="B510" t="s">
        <v>24</v>
      </c>
      <c r="C510" t="s">
        <v>22</v>
      </c>
      <c r="D510" t="s">
        <v>10</v>
      </c>
      <c r="E510">
        <v>1</v>
      </c>
      <c r="F510">
        <v>4500</v>
      </c>
      <c r="G510" s="2">
        <f t="shared" si="21"/>
        <v>4500</v>
      </c>
      <c r="H510" t="str">
        <f t="shared" si="22"/>
        <v>Low</v>
      </c>
      <c r="I510" t="s">
        <v>14</v>
      </c>
      <c r="L510" t="s">
        <v>24</v>
      </c>
      <c r="M510" s="3">
        <f t="shared" si="23"/>
        <v>2514250</v>
      </c>
    </row>
    <row r="511" spans="1:13" ht="15.75" x14ac:dyDescent="0.3">
      <c r="A511" s="1">
        <v>45557</v>
      </c>
      <c r="B511" t="s">
        <v>23</v>
      </c>
      <c r="C511" t="s">
        <v>22</v>
      </c>
      <c r="D511" t="s">
        <v>7</v>
      </c>
      <c r="E511">
        <v>1</v>
      </c>
      <c r="F511">
        <v>300</v>
      </c>
      <c r="G511" s="2">
        <f t="shared" si="21"/>
        <v>300</v>
      </c>
      <c r="H511" t="str">
        <f t="shared" si="22"/>
        <v>Low</v>
      </c>
      <c r="I511" t="s">
        <v>11</v>
      </c>
      <c r="L511" t="s">
        <v>23</v>
      </c>
      <c r="M511" s="3">
        <f t="shared" si="23"/>
        <v>2202100</v>
      </c>
    </row>
    <row r="512" spans="1:13" ht="15.75" x14ac:dyDescent="0.3">
      <c r="A512" s="1">
        <v>45591</v>
      </c>
      <c r="B512" t="s">
        <v>24</v>
      </c>
      <c r="C512" t="s">
        <v>6</v>
      </c>
      <c r="D512" t="s">
        <v>20</v>
      </c>
      <c r="E512">
        <v>5</v>
      </c>
      <c r="F512">
        <v>150</v>
      </c>
      <c r="G512" s="2">
        <f t="shared" si="21"/>
        <v>750</v>
      </c>
      <c r="H512" t="str">
        <f t="shared" si="22"/>
        <v>Low</v>
      </c>
      <c r="I512" t="s">
        <v>14</v>
      </c>
      <c r="L512" t="s">
        <v>24</v>
      </c>
      <c r="M512" s="3">
        <f t="shared" si="23"/>
        <v>2514250</v>
      </c>
    </row>
    <row r="513" spans="1:13" ht="15.75" x14ac:dyDescent="0.3">
      <c r="A513" s="1">
        <v>45345</v>
      </c>
      <c r="B513" t="s">
        <v>12</v>
      </c>
      <c r="C513" t="s">
        <v>13</v>
      </c>
      <c r="D513" t="s">
        <v>20</v>
      </c>
      <c r="E513">
        <v>10</v>
      </c>
      <c r="F513">
        <v>8500</v>
      </c>
      <c r="G513" s="2">
        <f t="shared" si="21"/>
        <v>85000</v>
      </c>
      <c r="H513" t="str">
        <f t="shared" si="22"/>
        <v>High</v>
      </c>
      <c r="I513" t="s">
        <v>8</v>
      </c>
      <c r="L513" t="s">
        <v>12</v>
      </c>
      <c r="M513" s="3">
        <f t="shared" si="23"/>
        <v>2865050</v>
      </c>
    </row>
    <row r="514" spans="1:13" ht="15.75" x14ac:dyDescent="0.3">
      <c r="A514" s="1">
        <v>45360</v>
      </c>
      <c r="B514" t="s">
        <v>24</v>
      </c>
      <c r="C514" t="s">
        <v>21</v>
      </c>
      <c r="D514" t="s">
        <v>20</v>
      </c>
      <c r="E514">
        <v>4</v>
      </c>
      <c r="F514">
        <v>8500</v>
      </c>
      <c r="G514" s="2">
        <f t="shared" si="21"/>
        <v>34000</v>
      </c>
      <c r="H514" t="str">
        <f t="shared" si="22"/>
        <v>High</v>
      </c>
      <c r="I514" t="s">
        <v>14</v>
      </c>
      <c r="L514" t="s">
        <v>24</v>
      </c>
      <c r="M514" s="3">
        <f t="shared" si="23"/>
        <v>2514250</v>
      </c>
    </row>
    <row r="515" spans="1:13" ht="15.75" x14ac:dyDescent="0.3">
      <c r="A515" s="1">
        <v>45433</v>
      </c>
      <c r="B515" t="s">
        <v>24</v>
      </c>
      <c r="C515" t="s">
        <v>21</v>
      </c>
      <c r="D515" t="s">
        <v>20</v>
      </c>
      <c r="E515">
        <v>4</v>
      </c>
      <c r="F515">
        <v>8500</v>
      </c>
      <c r="G515" s="2">
        <f t="shared" ref="G515:G578" si="24">E515*F515</f>
        <v>34000</v>
      </c>
      <c r="H515" t="str">
        <f t="shared" ref="H515:H578" si="25">IF(G515&gt;=10000,"High","Low")</f>
        <v>High</v>
      </c>
      <c r="I515" t="s">
        <v>14</v>
      </c>
      <c r="L515" t="s">
        <v>24</v>
      </c>
      <c r="M515" s="3">
        <f t="shared" ref="M515:M578" si="26">SUMIF(B:B,L515,G:G)</f>
        <v>2514250</v>
      </c>
    </row>
    <row r="516" spans="1:13" ht="15.75" x14ac:dyDescent="0.3">
      <c r="A516" s="1">
        <v>45408</v>
      </c>
      <c r="B516" t="s">
        <v>25</v>
      </c>
      <c r="C516" t="s">
        <v>22</v>
      </c>
      <c r="D516" t="s">
        <v>10</v>
      </c>
      <c r="E516">
        <v>3</v>
      </c>
      <c r="F516">
        <v>8500</v>
      </c>
      <c r="G516" s="2">
        <f t="shared" si="24"/>
        <v>25500</v>
      </c>
      <c r="H516" t="str">
        <f t="shared" si="25"/>
        <v>High</v>
      </c>
      <c r="I516" t="s">
        <v>11</v>
      </c>
      <c r="L516" t="s">
        <v>25</v>
      </c>
      <c r="M516" s="3">
        <f t="shared" si="26"/>
        <v>2243250</v>
      </c>
    </row>
    <row r="517" spans="1:13" ht="15.75" x14ac:dyDescent="0.3">
      <c r="A517" s="1">
        <v>45419</v>
      </c>
      <c r="B517" t="s">
        <v>26</v>
      </c>
      <c r="C517" t="s">
        <v>16</v>
      </c>
      <c r="D517" t="s">
        <v>10</v>
      </c>
      <c r="E517">
        <v>6</v>
      </c>
      <c r="F517">
        <v>300</v>
      </c>
      <c r="G517" s="2">
        <f t="shared" si="24"/>
        <v>1800</v>
      </c>
      <c r="H517" t="str">
        <f t="shared" si="25"/>
        <v>Low</v>
      </c>
      <c r="I517" t="s">
        <v>11</v>
      </c>
      <c r="L517" t="s">
        <v>26</v>
      </c>
      <c r="M517" s="3">
        <f t="shared" si="26"/>
        <v>2430500</v>
      </c>
    </row>
    <row r="518" spans="1:13" ht="15.75" x14ac:dyDescent="0.3">
      <c r="A518" s="1">
        <v>45374</v>
      </c>
      <c r="B518" t="s">
        <v>26</v>
      </c>
      <c r="C518" t="s">
        <v>22</v>
      </c>
      <c r="D518" t="s">
        <v>17</v>
      </c>
      <c r="E518">
        <v>5</v>
      </c>
      <c r="F518">
        <v>300</v>
      </c>
      <c r="G518" s="2">
        <f t="shared" si="24"/>
        <v>1500</v>
      </c>
      <c r="H518" t="str">
        <f t="shared" si="25"/>
        <v>Low</v>
      </c>
      <c r="I518" t="s">
        <v>8</v>
      </c>
      <c r="L518" t="s">
        <v>26</v>
      </c>
      <c r="M518" s="3">
        <f t="shared" si="26"/>
        <v>2430500</v>
      </c>
    </row>
    <row r="519" spans="1:13" ht="15.75" x14ac:dyDescent="0.3">
      <c r="A519" s="1">
        <v>45627</v>
      </c>
      <c r="B519" t="s">
        <v>26</v>
      </c>
      <c r="C519" t="s">
        <v>16</v>
      </c>
      <c r="D519" t="s">
        <v>10</v>
      </c>
      <c r="E519">
        <v>7</v>
      </c>
      <c r="F519">
        <v>4500</v>
      </c>
      <c r="G519" s="2">
        <f t="shared" si="24"/>
        <v>31500</v>
      </c>
      <c r="H519" t="str">
        <f t="shared" si="25"/>
        <v>High</v>
      </c>
      <c r="I519" t="s">
        <v>11</v>
      </c>
      <c r="L519" t="s">
        <v>26</v>
      </c>
      <c r="M519" s="3">
        <f t="shared" si="26"/>
        <v>2430500</v>
      </c>
    </row>
    <row r="520" spans="1:13" ht="15.75" x14ac:dyDescent="0.3">
      <c r="A520" s="1">
        <v>45471</v>
      </c>
      <c r="B520" t="s">
        <v>24</v>
      </c>
      <c r="C520" t="s">
        <v>16</v>
      </c>
      <c r="D520" t="s">
        <v>7</v>
      </c>
      <c r="E520">
        <v>7</v>
      </c>
      <c r="F520">
        <v>300</v>
      </c>
      <c r="G520" s="2">
        <f t="shared" si="24"/>
        <v>2100</v>
      </c>
      <c r="H520" t="str">
        <f t="shared" si="25"/>
        <v>Low</v>
      </c>
      <c r="I520" t="s">
        <v>14</v>
      </c>
      <c r="L520" t="s">
        <v>24</v>
      </c>
      <c r="M520" s="3">
        <f t="shared" si="26"/>
        <v>2514250</v>
      </c>
    </row>
    <row r="521" spans="1:13" ht="15.75" x14ac:dyDescent="0.3">
      <c r="A521" s="1">
        <v>45549</v>
      </c>
      <c r="B521" t="s">
        <v>19</v>
      </c>
      <c r="C521" t="s">
        <v>22</v>
      </c>
      <c r="D521" t="s">
        <v>7</v>
      </c>
      <c r="E521">
        <v>3</v>
      </c>
      <c r="F521">
        <v>150</v>
      </c>
      <c r="G521" s="2">
        <f t="shared" si="24"/>
        <v>450</v>
      </c>
      <c r="H521" t="str">
        <f t="shared" si="25"/>
        <v>Low</v>
      </c>
      <c r="I521" t="s">
        <v>8</v>
      </c>
      <c r="L521" t="s">
        <v>19</v>
      </c>
      <c r="M521" s="3">
        <f t="shared" si="26"/>
        <v>2179300</v>
      </c>
    </row>
    <row r="522" spans="1:13" ht="15.75" x14ac:dyDescent="0.3">
      <c r="A522" s="1">
        <v>45636</v>
      </c>
      <c r="B522" t="s">
        <v>26</v>
      </c>
      <c r="C522" t="s">
        <v>16</v>
      </c>
      <c r="D522" t="s">
        <v>10</v>
      </c>
      <c r="E522">
        <v>4</v>
      </c>
      <c r="F522">
        <v>150</v>
      </c>
      <c r="G522" s="2">
        <f t="shared" si="24"/>
        <v>600</v>
      </c>
      <c r="H522" t="str">
        <f t="shared" si="25"/>
        <v>Low</v>
      </c>
      <c r="I522" t="s">
        <v>14</v>
      </c>
      <c r="L522" t="s">
        <v>26</v>
      </c>
      <c r="M522" s="3">
        <f t="shared" si="26"/>
        <v>2430500</v>
      </c>
    </row>
    <row r="523" spans="1:13" ht="15.75" x14ac:dyDescent="0.3">
      <c r="A523" s="1">
        <v>45528</v>
      </c>
      <c r="B523" t="s">
        <v>23</v>
      </c>
      <c r="C523" t="s">
        <v>13</v>
      </c>
      <c r="D523" t="s">
        <v>10</v>
      </c>
      <c r="E523">
        <v>5</v>
      </c>
      <c r="F523">
        <v>300</v>
      </c>
      <c r="G523" s="2">
        <f t="shared" si="24"/>
        <v>1500</v>
      </c>
      <c r="H523" t="str">
        <f t="shared" si="25"/>
        <v>Low</v>
      </c>
      <c r="I523" t="s">
        <v>8</v>
      </c>
      <c r="L523" t="s">
        <v>23</v>
      </c>
      <c r="M523" s="3">
        <f t="shared" si="26"/>
        <v>2202100</v>
      </c>
    </row>
    <row r="524" spans="1:13" ht="15.75" x14ac:dyDescent="0.3">
      <c r="A524" s="1">
        <v>45630</v>
      </c>
      <c r="B524" t="s">
        <v>24</v>
      </c>
      <c r="C524" t="s">
        <v>6</v>
      </c>
      <c r="D524" t="s">
        <v>20</v>
      </c>
      <c r="E524">
        <v>8</v>
      </c>
      <c r="F524">
        <v>300</v>
      </c>
      <c r="G524" s="2">
        <f t="shared" si="24"/>
        <v>2400</v>
      </c>
      <c r="H524" t="str">
        <f t="shared" si="25"/>
        <v>Low</v>
      </c>
      <c r="I524" t="s">
        <v>11</v>
      </c>
      <c r="L524" t="s">
        <v>24</v>
      </c>
      <c r="M524" s="3">
        <f t="shared" si="26"/>
        <v>2514250</v>
      </c>
    </row>
    <row r="525" spans="1:13" ht="15.75" x14ac:dyDescent="0.3">
      <c r="A525" s="1">
        <v>45631</v>
      </c>
      <c r="B525" t="s">
        <v>25</v>
      </c>
      <c r="C525" t="s">
        <v>6</v>
      </c>
      <c r="D525" t="s">
        <v>10</v>
      </c>
      <c r="E525">
        <v>1</v>
      </c>
      <c r="F525">
        <v>8500</v>
      </c>
      <c r="G525" s="2">
        <f t="shared" si="24"/>
        <v>8500</v>
      </c>
      <c r="H525" t="str">
        <f t="shared" si="25"/>
        <v>Low</v>
      </c>
      <c r="I525" t="s">
        <v>11</v>
      </c>
      <c r="L525" t="s">
        <v>25</v>
      </c>
      <c r="M525" s="3">
        <f t="shared" si="26"/>
        <v>2243250</v>
      </c>
    </row>
    <row r="526" spans="1:13" ht="15.75" x14ac:dyDescent="0.3">
      <c r="A526" s="1">
        <v>45343</v>
      </c>
      <c r="B526" t="s">
        <v>25</v>
      </c>
      <c r="C526" t="s">
        <v>6</v>
      </c>
      <c r="D526" t="s">
        <v>10</v>
      </c>
      <c r="E526">
        <v>3</v>
      </c>
      <c r="F526">
        <v>300</v>
      </c>
      <c r="G526" s="2">
        <f t="shared" si="24"/>
        <v>900</v>
      </c>
      <c r="H526" t="str">
        <f t="shared" si="25"/>
        <v>Low</v>
      </c>
      <c r="I526" t="s">
        <v>14</v>
      </c>
      <c r="L526" t="s">
        <v>25</v>
      </c>
      <c r="M526" s="3">
        <f t="shared" si="26"/>
        <v>2243250</v>
      </c>
    </row>
    <row r="527" spans="1:13" ht="15.75" x14ac:dyDescent="0.3">
      <c r="A527" s="1">
        <v>45522</v>
      </c>
      <c r="B527" t="s">
        <v>25</v>
      </c>
      <c r="C527" t="s">
        <v>21</v>
      </c>
      <c r="D527" t="s">
        <v>20</v>
      </c>
      <c r="E527">
        <v>7</v>
      </c>
      <c r="F527">
        <v>300</v>
      </c>
      <c r="G527" s="2">
        <f t="shared" si="24"/>
        <v>2100</v>
      </c>
      <c r="H527" t="str">
        <f t="shared" si="25"/>
        <v>Low</v>
      </c>
      <c r="I527" t="s">
        <v>14</v>
      </c>
      <c r="L527" t="s">
        <v>25</v>
      </c>
      <c r="M527" s="3">
        <f t="shared" si="26"/>
        <v>2243250</v>
      </c>
    </row>
    <row r="528" spans="1:13" ht="15.75" x14ac:dyDescent="0.3">
      <c r="A528" s="1">
        <v>45353</v>
      </c>
      <c r="B528" t="s">
        <v>12</v>
      </c>
      <c r="C528" t="s">
        <v>6</v>
      </c>
      <c r="D528" t="s">
        <v>7</v>
      </c>
      <c r="E528">
        <v>8</v>
      </c>
      <c r="F528">
        <v>8500</v>
      </c>
      <c r="G528" s="2">
        <f t="shared" si="24"/>
        <v>68000</v>
      </c>
      <c r="H528" t="str">
        <f t="shared" si="25"/>
        <v>High</v>
      </c>
      <c r="I528" t="s">
        <v>14</v>
      </c>
      <c r="L528" t="s">
        <v>12</v>
      </c>
      <c r="M528" s="3">
        <f t="shared" si="26"/>
        <v>2865050</v>
      </c>
    </row>
    <row r="529" spans="1:13" ht="15.75" x14ac:dyDescent="0.3">
      <c r="A529" s="1">
        <v>45657</v>
      </c>
      <c r="B529" t="s">
        <v>19</v>
      </c>
      <c r="C529" t="s">
        <v>22</v>
      </c>
      <c r="D529" t="s">
        <v>10</v>
      </c>
      <c r="E529">
        <v>10</v>
      </c>
      <c r="F529">
        <v>150</v>
      </c>
      <c r="G529" s="2">
        <f t="shared" si="24"/>
        <v>1500</v>
      </c>
      <c r="H529" t="str">
        <f t="shared" si="25"/>
        <v>Low</v>
      </c>
      <c r="I529" t="s">
        <v>8</v>
      </c>
      <c r="L529" t="s">
        <v>19</v>
      </c>
      <c r="M529" s="3">
        <f t="shared" si="26"/>
        <v>2179300</v>
      </c>
    </row>
    <row r="530" spans="1:13" ht="15.75" x14ac:dyDescent="0.3">
      <c r="A530" s="1">
        <v>45429</v>
      </c>
      <c r="B530" t="s">
        <v>25</v>
      </c>
      <c r="C530" t="s">
        <v>22</v>
      </c>
      <c r="D530" t="s">
        <v>10</v>
      </c>
      <c r="E530">
        <v>10</v>
      </c>
      <c r="F530">
        <v>300</v>
      </c>
      <c r="G530" s="2">
        <f t="shared" si="24"/>
        <v>3000</v>
      </c>
      <c r="H530" t="str">
        <f t="shared" si="25"/>
        <v>Low</v>
      </c>
      <c r="I530" t="s">
        <v>14</v>
      </c>
      <c r="L530" t="s">
        <v>25</v>
      </c>
      <c r="M530" s="3">
        <f t="shared" si="26"/>
        <v>2243250</v>
      </c>
    </row>
    <row r="531" spans="1:13" ht="15.75" x14ac:dyDescent="0.3">
      <c r="A531" s="1">
        <v>45478</v>
      </c>
      <c r="B531" t="s">
        <v>23</v>
      </c>
      <c r="C531" t="s">
        <v>13</v>
      </c>
      <c r="D531" t="s">
        <v>17</v>
      </c>
      <c r="E531">
        <v>3</v>
      </c>
      <c r="F531">
        <v>300</v>
      </c>
      <c r="G531" s="2">
        <f t="shared" si="24"/>
        <v>900</v>
      </c>
      <c r="H531" t="str">
        <f t="shared" si="25"/>
        <v>Low</v>
      </c>
      <c r="I531" t="s">
        <v>8</v>
      </c>
      <c r="L531" t="s">
        <v>23</v>
      </c>
      <c r="M531" s="3">
        <f t="shared" si="26"/>
        <v>2202100</v>
      </c>
    </row>
    <row r="532" spans="1:13" ht="15.75" x14ac:dyDescent="0.3">
      <c r="A532" s="1">
        <v>45443</v>
      </c>
      <c r="B532" t="s">
        <v>15</v>
      </c>
      <c r="C532" t="s">
        <v>21</v>
      </c>
      <c r="D532" t="s">
        <v>10</v>
      </c>
      <c r="E532">
        <v>4</v>
      </c>
      <c r="F532">
        <v>4500</v>
      </c>
      <c r="G532" s="2">
        <f t="shared" si="24"/>
        <v>18000</v>
      </c>
      <c r="H532" t="str">
        <f t="shared" si="25"/>
        <v>High</v>
      </c>
      <c r="I532" t="s">
        <v>11</v>
      </c>
      <c r="L532" t="s">
        <v>15</v>
      </c>
      <c r="M532" s="3">
        <f t="shared" si="26"/>
        <v>2145050</v>
      </c>
    </row>
    <row r="533" spans="1:13" ht="15.75" x14ac:dyDescent="0.3">
      <c r="A533" s="1">
        <v>45534</v>
      </c>
      <c r="B533" t="s">
        <v>15</v>
      </c>
      <c r="C533" t="s">
        <v>16</v>
      </c>
      <c r="D533" t="s">
        <v>20</v>
      </c>
      <c r="E533">
        <v>2</v>
      </c>
      <c r="F533">
        <v>300</v>
      </c>
      <c r="G533" s="2">
        <f t="shared" si="24"/>
        <v>600</v>
      </c>
      <c r="H533" t="str">
        <f t="shared" si="25"/>
        <v>Low</v>
      </c>
      <c r="I533" t="s">
        <v>14</v>
      </c>
      <c r="L533" t="s">
        <v>15</v>
      </c>
      <c r="M533" s="3">
        <f t="shared" si="26"/>
        <v>2145050</v>
      </c>
    </row>
    <row r="534" spans="1:13" ht="15.75" x14ac:dyDescent="0.3">
      <c r="A534" s="1">
        <v>45414</v>
      </c>
      <c r="B534" t="s">
        <v>24</v>
      </c>
      <c r="C534" t="s">
        <v>21</v>
      </c>
      <c r="D534" t="s">
        <v>17</v>
      </c>
      <c r="E534">
        <v>2</v>
      </c>
      <c r="F534">
        <v>8500</v>
      </c>
      <c r="G534" s="2">
        <f t="shared" si="24"/>
        <v>17000</v>
      </c>
      <c r="H534" t="str">
        <f t="shared" si="25"/>
        <v>High</v>
      </c>
      <c r="I534" t="s">
        <v>14</v>
      </c>
      <c r="L534" t="s">
        <v>24</v>
      </c>
      <c r="M534" s="3">
        <f t="shared" si="26"/>
        <v>2514250</v>
      </c>
    </row>
    <row r="535" spans="1:13" ht="15.75" x14ac:dyDescent="0.3">
      <c r="A535" s="1">
        <v>45377</v>
      </c>
      <c r="B535" t="s">
        <v>15</v>
      </c>
      <c r="C535" t="s">
        <v>21</v>
      </c>
      <c r="D535" t="s">
        <v>18</v>
      </c>
      <c r="E535">
        <v>3</v>
      </c>
      <c r="F535">
        <v>4500</v>
      </c>
      <c r="G535" s="2">
        <f t="shared" si="24"/>
        <v>13500</v>
      </c>
      <c r="H535" t="str">
        <f t="shared" si="25"/>
        <v>High</v>
      </c>
      <c r="I535" t="s">
        <v>8</v>
      </c>
      <c r="L535" t="s">
        <v>15</v>
      </c>
      <c r="M535" s="3">
        <f t="shared" si="26"/>
        <v>2145050</v>
      </c>
    </row>
    <row r="536" spans="1:13" ht="15.75" x14ac:dyDescent="0.3">
      <c r="A536" s="1">
        <v>45422</v>
      </c>
      <c r="B536" t="s">
        <v>24</v>
      </c>
      <c r="C536" t="s">
        <v>21</v>
      </c>
      <c r="D536" t="s">
        <v>10</v>
      </c>
      <c r="E536">
        <v>6</v>
      </c>
      <c r="F536">
        <v>3200</v>
      </c>
      <c r="G536" s="2">
        <f t="shared" si="24"/>
        <v>19200</v>
      </c>
      <c r="H536" t="str">
        <f t="shared" si="25"/>
        <v>High</v>
      </c>
      <c r="I536" t="s">
        <v>8</v>
      </c>
      <c r="L536" t="s">
        <v>24</v>
      </c>
      <c r="M536" s="3">
        <f t="shared" si="26"/>
        <v>2514250</v>
      </c>
    </row>
    <row r="537" spans="1:13" ht="15.75" x14ac:dyDescent="0.3">
      <c r="A537" s="1">
        <v>45629</v>
      </c>
      <c r="B537" t="s">
        <v>15</v>
      </c>
      <c r="C537" t="s">
        <v>6</v>
      </c>
      <c r="D537" t="s">
        <v>20</v>
      </c>
      <c r="E537">
        <v>5</v>
      </c>
      <c r="F537">
        <v>300</v>
      </c>
      <c r="G537" s="2">
        <f t="shared" si="24"/>
        <v>1500</v>
      </c>
      <c r="H537" t="str">
        <f t="shared" si="25"/>
        <v>Low</v>
      </c>
      <c r="I537" t="s">
        <v>11</v>
      </c>
      <c r="L537" t="s">
        <v>15</v>
      </c>
      <c r="M537" s="3">
        <f t="shared" si="26"/>
        <v>2145050</v>
      </c>
    </row>
    <row r="538" spans="1:13" ht="15.75" x14ac:dyDescent="0.3">
      <c r="A538" s="1">
        <v>45388</v>
      </c>
      <c r="B538" t="s">
        <v>25</v>
      </c>
      <c r="C538" t="s">
        <v>16</v>
      </c>
      <c r="D538" t="s">
        <v>20</v>
      </c>
      <c r="E538">
        <v>4</v>
      </c>
      <c r="F538">
        <v>8500</v>
      </c>
      <c r="G538" s="2">
        <f t="shared" si="24"/>
        <v>34000</v>
      </c>
      <c r="H538" t="str">
        <f t="shared" si="25"/>
        <v>High</v>
      </c>
      <c r="I538" t="s">
        <v>11</v>
      </c>
      <c r="L538" t="s">
        <v>25</v>
      </c>
      <c r="M538" s="3">
        <f t="shared" si="26"/>
        <v>2243250</v>
      </c>
    </row>
    <row r="539" spans="1:13" ht="15.75" x14ac:dyDescent="0.3">
      <c r="A539" s="1">
        <v>45357</v>
      </c>
      <c r="B539" t="s">
        <v>23</v>
      </c>
      <c r="C539" t="s">
        <v>22</v>
      </c>
      <c r="D539" t="s">
        <v>10</v>
      </c>
      <c r="E539">
        <v>5</v>
      </c>
      <c r="F539">
        <v>8500</v>
      </c>
      <c r="G539" s="2">
        <f t="shared" si="24"/>
        <v>42500</v>
      </c>
      <c r="H539" t="str">
        <f t="shared" si="25"/>
        <v>High</v>
      </c>
      <c r="I539" t="s">
        <v>8</v>
      </c>
      <c r="L539" t="s">
        <v>23</v>
      </c>
      <c r="M539" s="3">
        <f t="shared" si="26"/>
        <v>2202100</v>
      </c>
    </row>
    <row r="540" spans="1:13" ht="15.75" x14ac:dyDescent="0.3">
      <c r="A540" s="1">
        <v>45593</v>
      </c>
      <c r="B540" t="s">
        <v>19</v>
      </c>
      <c r="C540" t="s">
        <v>13</v>
      </c>
      <c r="D540" t="s">
        <v>17</v>
      </c>
      <c r="E540">
        <v>8</v>
      </c>
      <c r="F540">
        <v>300</v>
      </c>
      <c r="G540" s="2">
        <f t="shared" si="24"/>
        <v>2400</v>
      </c>
      <c r="H540" t="str">
        <f t="shared" si="25"/>
        <v>Low</v>
      </c>
      <c r="I540" t="s">
        <v>14</v>
      </c>
      <c r="L540" t="s">
        <v>19</v>
      </c>
      <c r="M540" s="3">
        <f t="shared" si="26"/>
        <v>2179300</v>
      </c>
    </row>
    <row r="541" spans="1:13" ht="15.75" x14ac:dyDescent="0.3">
      <c r="A541" s="1">
        <v>45489</v>
      </c>
      <c r="B541" t="s">
        <v>12</v>
      </c>
      <c r="C541" t="s">
        <v>6</v>
      </c>
      <c r="D541" t="s">
        <v>20</v>
      </c>
      <c r="E541">
        <v>6</v>
      </c>
      <c r="F541">
        <v>4500</v>
      </c>
      <c r="G541" s="2">
        <f t="shared" si="24"/>
        <v>27000</v>
      </c>
      <c r="H541" t="str">
        <f t="shared" si="25"/>
        <v>High</v>
      </c>
      <c r="I541" t="s">
        <v>11</v>
      </c>
      <c r="L541" t="s">
        <v>12</v>
      </c>
      <c r="M541" s="3">
        <f t="shared" si="26"/>
        <v>2865050</v>
      </c>
    </row>
    <row r="542" spans="1:13" ht="15.75" x14ac:dyDescent="0.3">
      <c r="A542" s="1">
        <v>45624</v>
      </c>
      <c r="B542" t="s">
        <v>25</v>
      </c>
      <c r="C542" t="s">
        <v>22</v>
      </c>
      <c r="D542" t="s">
        <v>10</v>
      </c>
      <c r="E542">
        <v>10</v>
      </c>
      <c r="F542">
        <v>8500</v>
      </c>
      <c r="G542" s="2">
        <f t="shared" si="24"/>
        <v>85000</v>
      </c>
      <c r="H542" t="str">
        <f t="shared" si="25"/>
        <v>High</v>
      </c>
      <c r="I542" t="s">
        <v>8</v>
      </c>
      <c r="L542" t="s">
        <v>25</v>
      </c>
      <c r="M542" s="3">
        <f t="shared" si="26"/>
        <v>2243250</v>
      </c>
    </row>
    <row r="543" spans="1:13" ht="15.75" x14ac:dyDescent="0.3">
      <c r="A543" s="1">
        <v>45335</v>
      </c>
      <c r="B543" t="s">
        <v>26</v>
      </c>
      <c r="C543" t="s">
        <v>16</v>
      </c>
      <c r="D543" t="s">
        <v>18</v>
      </c>
      <c r="E543">
        <v>4</v>
      </c>
      <c r="F543">
        <v>300</v>
      </c>
      <c r="G543" s="2">
        <f t="shared" si="24"/>
        <v>1200</v>
      </c>
      <c r="H543" t="str">
        <f t="shared" si="25"/>
        <v>Low</v>
      </c>
      <c r="I543" t="s">
        <v>14</v>
      </c>
      <c r="L543" t="s">
        <v>26</v>
      </c>
      <c r="M543" s="3">
        <f t="shared" si="26"/>
        <v>2430500</v>
      </c>
    </row>
    <row r="544" spans="1:13" ht="15.75" x14ac:dyDescent="0.3">
      <c r="A544" s="1">
        <v>45322</v>
      </c>
      <c r="B544" t="s">
        <v>23</v>
      </c>
      <c r="C544" t="s">
        <v>13</v>
      </c>
      <c r="D544" t="s">
        <v>7</v>
      </c>
      <c r="E544">
        <v>7</v>
      </c>
      <c r="F544">
        <v>3200</v>
      </c>
      <c r="G544" s="2">
        <f t="shared" si="24"/>
        <v>22400</v>
      </c>
      <c r="H544" t="str">
        <f t="shared" si="25"/>
        <v>High</v>
      </c>
      <c r="I544" t="s">
        <v>14</v>
      </c>
      <c r="L544" t="s">
        <v>23</v>
      </c>
      <c r="M544" s="3">
        <f t="shared" si="26"/>
        <v>2202100</v>
      </c>
    </row>
    <row r="545" spans="1:13" ht="15.75" x14ac:dyDescent="0.3">
      <c r="A545" s="1">
        <v>45533</v>
      </c>
      <c r="B545" t="s">
        <v>15</v>
      </c>
      <c r="C545" t="s">
        <v>22</v>
      </c>
      <c r="D545" t="s">
        <v>18</v>
      </c>
      <c r="E545">
        <v>5</v>
      </c>
      <c r="F545">
        <v>150</v>
      </c>
      <c r="G545" s="2">
        <f t="shared" si="24"/>
        <v>750</v>
      </c>
      <c r="H545" t="str">
        <f t="shared" si="25"/>
        <v>Low</v>
      </c>
      <c r="I545" t="s">
        <v>14</v>
      </c>
      <c r="L545" t="s">
        <v>15</v>
      </c>
      <c r="M545" s="3">
        <f t="shared" si="26"/>
        <v>2145050</v>
      </c>
    </row>
    <row r="546" spans="1:13" ht="15.75" x14ac:dyDescent="0.3">
      <c r="A546" s="1">
        <v>45476</v>
      </c>
      <c r="B546" t="s">
        <v>19</v>
      </c>
      <c r="C546" t="s">
        <v>16</v>
      </c>
      <c r="D546" t="s">
        <v>7</v>
      </c>
      <c r="E546">
        <v>5</v>
      </c>
      <c r="F546">
        <v>3200</v>
      </c>
      <c r="G546" s="2">
        <f t="shared" si="24"/>
        <v>16000</v>
      </c>
      <c r="H546" t="str">
        <f t="shared" si="25"/>
        <v>High</v>
      </c>
      <c r="I546" t="s">
        <v>8</v>
      </c>
      <c r="L546" t="s">
        <v>19</v>
      </c>
      <c r="M546" s="3">
        <f t="shared" si="26"/>
        <v>2179300</v>
      </c>
    </row>
    <row r="547" spans="1:13" ht="15.75" x14ac:dyDescent="0.3">
      <c r="A547" s="1">
        <v>45344</v>
      </c>
      <c r="B547" t="s">
        <v>26</v>
      </c>
      <c r="C547" t="s">
        <v>22</v>
      </c>
      <c r="D547" t="s">
        <v>7</v>
      </c>
      <c r="E547">
        <v>7</v>
      </c>
      <c r="F547">
        <v>150</v>
      </c>
      <c r="G547" s="2">
        <f t="shared" si="24"/>
        <v>1050</v>
      </c>
      <c r="H547" t="str">
        <f t="shared" si="25"/>
        <v>Low</v>
      </c>
      <c r="I547" t="s">
        <v>14</v>
      </c>
      <c r="L547" t="s">
        <v>26</v>
      </c>
      <c r="M547" s="3">
        <f t="shared" si="26"/>
        <v>2430500</v>
      </c>
    </row>
    <row r="548" spans="1:13" ht="15.75" x14ac:dyDescent="0.3">
      <c r="A548" s="1">
        <v>45305</v>
      </c>
      <c r="B548" t="s">
        <v>9</v>
      </c>
      <c r="C548" t="s">
        <v>13</v>
      </c>
      <c r="D548" t="s">
        <v>7</v>
      </c>
      <c r="E548">
        <v>2</v>
      </c>
      <c r="F548">
        <v>150</v>
      </c>
      <c r="G548" s="2">
        <f t="shared" si="24"/>
        <v>300</v>
      </c>
      <c r="H548" t="str">
        <f t="shared" si="25"/>
        <v>Low</v>
      </c>
      <c r="I548" t="s">
        <v>14</v>
      </c>
      <c r="L548" t="s">
        <v>9</v>
      </c>
      <c r="M548" s="3">
        <f t="shared" si="26"/>
        <v>1849750</v>
      </c>
    </row>
    <row r="549" spans="1:13" ht="15.75" x14ac:dyDescent="0.3">
      <c r="A549" s="1">
        <v>45300</v>
      </c>
      <c r="B549" t="s">
        <v>26</v>
      </c>
      <c r="C549" t="s">
        <v>21</v>
      </c>
      <c r="D549" t="s">
        <v>18</v>
      </c>
      <c r="E549">
        <v>7</v>
      </c>
      <c r="F549">
        <v>150</v>
      </c>
      <c r="G549" s="2">
        <f t="shared" si="24"/>
        <v>1050</v>
      </c>
      <c r="H549" t="str">
        <f t="shared" si="25"/>
        <v>Low</v>
      </c>
      <c r="I549" t="s">
        <v>14</v>
      </c>
      <c r="L549" t="s">
        <v>26</v>
      </c>
      <c r="M549" s="3">
        <f t="shared" si="26"/>
        <v>2430500</v>
      </c>
    </row>
    <row r="550" spans="1:13" ht="15.75" x14ac:dyDescent="0.3">
      <c r="A550" s="1">
        <v>45510</v>
      </c>
      <c r="B550" t="s">
        <v>9</v>
      </c>
      <c r="C550" t="s">
        <v>13</v>
      </c>
      <c r="D550" t="s">
        <v>18</v>
      </c>
      <c r="E550">
        <v>2</v>
      </c>
      <c r="F550">
        <v>3200</v>
      </c>
      <c r="G550" s="2">
        <f t="shared" si="24"/>
        <v>6400</v>
      </c>
      <c r="H550" t="str">
        <f t="shared" si="25"/>
        <v>Low</v>
      </c>
      <c r="I550" t="s">
        <v>8</v>
      </c>
      <c r="L550" t="s">
        <v>9</v>
      </c>
      <c r="M550" s="3">
        <f t="shared" si="26"/>
        <v>1849750</v>
      </c>
    </row>
    <row r="551" spans="1:13" ht="15.75" x14ac:dyDescent="0.3">
      <c r="A551" s="1">
        <v>45535</v>
      </c>
      <c r="B551" t="s">
        <v>12</v>
      </c>
      <c r="C551" t="s">
        <v>21</v>
      </c>
      <c r="D551" t="s">
        <v>17</v>
      </c>
      <c r="E551">
        <v>6</v>
      </c>
      <c r="F551">
        <v>3200</v>
      </c>
      <c r="G551" s="2">
        <f t="shared" si="24"/>
        <v>19200</v>
      </c>
      <c r="H551" t="str">
        <f t="shared" si="25"/>
        <v>High</v>
      </c>
      <c r="I551" t="s">
        <v>11</v>
      </c>
      <c r="L551" t="s">
        <v>12</v>
      </c>
      <c r="M551" s="3">
        <f t="shared" si="26"/>
        <v>2865050</v>
      </c>
    </row>
    <row r="552" spans="1:13" ht="15.75" x14ac:dyDescent="0.3">
      <c r="A552" s="1">
        <v>45606</v>
      </c>
      <c r="B552" t="s">
        <v>9</v>
      </c>
      <c r="C552" t="s">
        <v>13</v>
      </c>
      <c r="D552" t="s">
        <v>17</v>
      </c>
      <c r="E552">
        <v>7</v>
      </c>
      <c r="F552">
        <v>4500</v>
      </c>
      <c r="G552" s="2">
        <f t="shared" si="24"/>
        <v>31500</v>
      </c>
      <c r="H552" t="str">
        <f t="shared" si="25"/>
        <v>High</v>
      </c>
      <c r="I552" t="s">
        <v>8</v>
      </c>
      <c r="L552" t="s">
        <v>9</v>
      </c>
      <c r="M552" s="3">
        <f t="shared" si="26"/>
        <v>1849750</v>
      </c>
    </row>
    <row r="553" spans="1:13" ht="15.75" x14ac:dyDescent="0.3">
      <c r="A553" s="1">
        <v>45615</v>
      </c>
      <c r="B553" t="s">
        <v>15</v>
      </c>
      <c r="C553" t="s">
        <v>6</v>
      </c>
      <c r="D553" t="s">
        <v>7</v>
      </c>
      <c r="E553">
        <v>7</v>
      </c>
      <c r="F553">
        <v>4500</v>
      </c>
      <c r="G553" s="2">
        <f t="shared" si="24"/>
        <v>31500</v>
      </c>
      <c r="H553" t="str">
        <f t="shared" si="25"/>
        <v>High</v>
      </c>
      <c r="I553" t="s">
        <v>14</v>
      </c>
      <c r="L553" t="s">
        <v>15</v>
      </c>
      <c r="M553" s="3">
        <f t="shared" si="26"/>
        <v>2145050</v>
      </c>
    </row>
    <row r="554" spans="1:13" ht="15.75" x14ac:dyDescent="0.3">
      <c r="A554" s="1">
        <v>45614</v>
      </c>
      <c r="B554" t="s">
        <v>19</v>
      </c>
      <c r="C554" t="s">
        <v>21</v>
      </c>
      <c r="D554" t="s">
        <v>20</v>
      </c>
      <c r="E554">
        <v>7</v>
      </c>
      <c r="F554">
        <v>150</v>
      </c>
      <c r="G554" s="2">
        <f t="shared" si="24"/>
        <v>1050</v>
      </c>
      <c r="H554" t="str">
        <f t="shared" si="25"/>
        <v>Low</v>
      </c>
      <c r="I554" t="s">
        <v>11</v>
      </c>
      <c r="L554" t="s">
        <v>19</v>
      </c>
      <c r="M554" s="3">
        <f t="shared" si="26"/>
        <v>2179300</v>
      </c>
    </row>
    <row r="555" spans="1:13" ht="15.75" x14ac:dyDescent="0.3">
      <c r="A555" s="1">
        <v>45359</v>
      </c>
      <c r="B555" t="s">
        <v>19</v>
      </c>
      <c r="C555" t="s">
        <v>21</v>
      </c>
      <c r="D555" t="s">
        <v>20</v>
      </c>
      <c r="E555">
        <v>6</v>
      </c>
      <c r="F555">
        <v>8500</v>
      </c>
      <c r="G555" s="2">
        <f t="shared" si="24"/>
        <v>51000</v>
      </c>
      <c r="H555" t="str">
        <f t="shared" si="25"/>
        <v>High</v>
      </c>
      <c r="I555" t="s">
        <v>8</v>
      </c>
      <c r="L555" t="s">
        <v>19</v>
      </c>
      <c r="M555" s="3">
        <f t="shared" si="26"/>
        <v>2179300</v>
      </c>
    </row>
    <row r="556" spans="1:13" ht="15.75" x14ac:dyDescent="0.3">
      <c r="A556" s="1">
        <v>45351</v>
      </c>
      <c r="B556" t="s">
        <v>25</v>
      </c>
      <c r="C556" t="s">
        <v>13</v>
      </c>
      <c r="D556" t="s">
        <v>7</v>
      </c>
      <c r="E556">
        <v>10</v>
      </c>
      <c r="F556">
        <v>8500</v>
      </c>
      <c r="G556" s="2">
        <f t="shared" si="24"/>
        <v>85000</v>
      </c>
      <c r="H556" t="str">
        <f t="shared" si="25"/>
        <v>High</v>
      </c>
      <c r="I556" t="s">
        <v>14</v>
      </c>
      <c r="L556" t="s">
        <v>25</v>
      </c>
      <c r="M556" s="3">
        <f t="shared" si="26"/>
        <v>2243250</v>
      </c>
    </row>
    <row r="557" spans="1:13" ht="15.75" x14ac:dyDescent="0.3">
      <c r="A557" s="1">
        <v>45547</v>
      </c>
      <c r="B557" t="s">
        <v>9</v>
      </c>
      <c r="C557" t="s">
        <v>22</v>
      </c>
      <c r="D557" t="s">
        <v>10</v>
      </c>
      <c r="E557">
        <v>6</v>
      </c>
      <c r="F557">
        <v>150</v>
      </c>
      <c r="G557" s="2">
        <f t="shared" si="24"/>
        <v>900</v>
      </c>
      <c r="H557" t="str">
        <f t="shared" si="25"/>
        <v>Low</v>
      </c>
      <c r="I557" t="s">
        <v>11</v>
      </c>
      <c r="L557" t="s">
        <v>9</v>
      </c>
      <c r="M557" s="3">
        <f t="shared" si="26"/>
        <v>1849750</v>
      </c>
    </row>
    <row r="558" spans="1:13" ht="15.75" x14ac:dyDescent="0.3">
      <c r="A558" s="1">
        <v>45390</v>
      </c>
      <c r="B558" t="s">
        <v>9</v>
      </c>
      <c r="C558" t="s">
        <v>22</v>
      </c>
      <c r="D558" t="s">
        <v>18</v>
      </c>
      <c r="E558">
        <v>6</v>
      </c>
      <c r="F558">
        <v>300</v>
      </c>
      <c r="G558" s="2">
        <f t="shared" si="24"/>
        <v>1800</v>
      </c>
      <c r="H558" t="str">
        <f t="shared" si="25"/>
        <v>Low</v>
      </c>
      <c r="I558" t="s">
        <v>8</v>
      </c>
      <c r="L558" t="s">
        <v>9</v>
      </c>
      <c r="M558" s="3">
        <f t="shared" si="26"/>
        <v>1849750</v>
      </c>
    </row>
    <row r="559" spans="1:13" ht="15.75" x14ac:dyDescent="0.3">
      <c r="A559" s="1">
        <v>45605</v>
      </c>
      <c r="B559" t="s">
        <v>9</v>
      </c>
      <c r="C559" t="s">
        <v>22</v>
      </c>
      <c r="D559" t="s">
        <v>18</v>
      </c>
      <c r="E559">
        <v>3</v>
      </c>
      <c r="F559">
        <v>3200</v>
      </c>
      <c r="G559" s="2">
        <f t="shared" si="24"/>
        <v>9600</v>
      </c>
      <c r="H559" t="str">
        <f t="shared" si="25"/>
        <v>Low</v>
      </c>
      <c r="I559" t="s">
        <v>8</v>
      </c>
      <c r="L559" t="s">
        <v>9</v>
      </c>
      <c r="M559" s="3">
        <f t="shared" si="26"/>
        <v>1849750</v>
      </c>
    </row>
    <row r="560" spans="1:13" ht="15.75" x14ac:dyDescent="0.3">
      <c r="A560" s="1">
        <v>45393</v>
      </c>
      <c r="B560" t="s">
        <v>19</v>
      </c>
      <c r="C560" t="s">
        <v>16</v>
      </c>
      <c r="D560" t="s">
        <v>18</v>
      </c>
      <c r="E560">
        <v>7</v>
      </c>
      <c r="F560">
        <v>3200</v>
      </c>
      <c r="G560" s="2">
        <f t="shared" si="24"/>
        <v>22400</v>
      </c>
      <c r="H560" t="str">
        <f t="shared" si="25"/>
        <v>High</v>
      </c>
      <c r="I560" t="s">
        <v>11</v>
      </c>
      <c r="L560" t="s">
        <v>19</v>
      </c>
      <c r="M560" s="3">
        <f t="shared" si="26"/>
        <v>2179300</v>
      </c>
    </row>
    <row r="561" spans="1:13" ht="15.75" x14ac:dyDescent="0.3">
      <c r="A561" s="1">
        <v>45542</v>
      </c>
      <c r="B561" t="s">
        <v>19</v>
      </c>
      <c r="C561" t="s">
        <v>21</v>
      </c>
      <c r="D561" t="s">
        <v>10</v>
      </c>
      <c r="E561">
        <v>4</v>
      </c>
      <c r="F561">
        <v>3200</v>
      </c>
      <c r="G561" s="2">
        <f t="shared" si="24"/>
        <v>12800</v>
      </c>
      <c r="H561" t="str">
        <f t="shared" si="25"/>
        <v>High</v>
      </c>
      <c r="I561" t="s">
        <v>8</v>
      </c>
      <c r="L561" t="s">
        <v>19</v>
      </c>
      <c r="M561" s="3">
        <f t="shared" si="26"/>
        <v>2179300</v>
      </c>
    </row>
    <row r="562" spans="1:13" ht="15.75" x14ac:dyDescent="0.3">
      <c r="A562" s="1">
        <v>45481</v>
      </c>
      <c r="B562" t="s">
        <v>15</v>
      </c>
      <c r="C562" t="s">
        <v>13</v>
      </c>
      <c r="D562" t="s">
        <v>20</v>
      </c>
      <c r="E562">
        <v>5</v>
      </c>
      <c r="F562">
        <v>300</v>
      </c>
      <c r="G562" s="2">
        <f t="shared" si="24"/>
        <v>1500</v>
      </c>
      <c r="H562" t="str">
        <f t="shared" si="25"/>
        <v>Low</v>
      </c>
      <c r="I562" t="s">
        <v>11</v>
      </c>
      <c r="L562" t="s">
        <v>15</v>
      </c>
      <c r="M562" s="3">
        <f t="shared" si="26"/>
        <v>2145050</v>
      </c>
    </row>
    <row r="563" spans="1:13" ht="15.75" x14ac:dyDescent="0.3">
      <c r="A563" s="1">
        <v>45326</v>
      </c>
      <c r="B563" t="s">
        <v>9</v>
      </c>
      <c r="C563" t="s">
        <v>13</v>
      </c>
      <c r="D563" t="s">
        <v>18</v>
      </c>
      <c r="E563">
        <v>10</v>
      </c>
      <c r="F563">
        <v>8500</v>
      </c>
      <c r="G563" s="2">
        <f t="shared" si="24"/>
        <v>85000</v>
      </c>
      <c r="H563" t="str">
        <f t="shared" si="25"/>
        <v>High</v>
      </c>
      <c r="I563" t="s">
        <v>8</v>
      </c>
      <c r="L563" t="s">
        <v>9</v>
      </c>
      <c r="M563" s="3">
        <f t="shared" si="26"/>
        <v>1849750</v>
      </c>
    </row>
    <row r="564" spans="1:13" ht="15.75" x14ac:dyDescent="0.3">
      <c r="A564" s="1">
        <v>45475</v>
      </c>
      <c r="B564" t="s">
        <v>9</v>
      </c>
      <c r="C564" t="s">
        <v>22</v>
      </c>
      <c r="D564" t="s">
        <v>20</v>
      </c>
      <c r="E564">
        <v>10</v>
      </c>
      <c r="F564">
        <v>3200</v>
      </c>
      <c r="G564" s="2">
        <f t="shared" si="24"/>
        <v>32000</v>
      </c>
      <c r="H564" t="str">
        <f t="shared" si="25"/>
        <v>High</v>
      </c>
      <c r="I564" t="s">
        <v>8</v>
      </c>
      <c r="L564" t="s">
        <v>9</v>
      </c>
      <c r="M564" s="3">
        <f t="shared" si="26"/>
        <v>1849750</v>
      </c>
    </row>
    <row r="565" spans="1:13" ht="15.75" x14ac:dyDescent="0.3">
      <c r="A565" s="1">
        <v>45317</v>
      </c>
      <c r="B565" t="s">
        <v>26</v>
      </c>
      <c r="C565" t="s">
        <v>13</v>
      </c>
      <c r="D565" t="s">
        <v>17</v>
      </c>
      <c r="E565">
        <v>9</v>
      </c>
      <c r="F565">
        <v>8500</v>
      </c>
      <c r="G565" s="2">
        <f t="shared" si="24"/>
        <v>76500</v>
      </c>
      <c r="H565" t="str">
        <f t="shared" si="25"/>
        <v>High</v>
      </c>
      <c r="I565" t="s">
        <v>8</v>
      </c>
      <c r="L565" t="s">
        <v>26</v>
      </c>
      <c r="M565" s="3">
        <f t="shared" si="26"/>
        <v>2430500</v>
      </c>
    </row>
    <row r="566" spans="1:13" ht="15.75" x14ac:dyDescent="0.3">
      <c r="A566" s="1">
        <v>45303</v>
      </c>
      <c r="B566" t="s">
        <v>24</v>
      </c>
      <c r="C566" t="s">
        <v>13</v>
      </c>
      <c r="D566" t="s">
        <v>10</v>
      </c>
      <c r="E566">
        <v>9</v>
      </c>
      <c r="F566">
        <v>4500</v>
      </c>
      <c r="G566" s="2">
        <f t="shared" si="24"/>
        <v>40500</v>
      </c>
      <c r="H566" t="str">
        <f t="shared" si="25"/>
        <v>High</v>
      </c>
      <c r="I566" t="s">
        <v>11</v>
      </c>
      <c r="L566" t="s">
        <v>24</v>
      </c>
      <c r="M566" s="3">
        <f t="shared" si="26"/>
        <v>2514250</v>
      </c>
    </row>
    <row r="567" spans="1:13" ht="15.75" x14ac:dyDescent="0.3">
      <c r="A567" s="1">
        <v>45624</v>
      </c>
      <c r="B567" t="s">
        <v>23</v>
      </c>
      <c r="C567" t="s">
        <v>6</v>
      </c>
      <c r="D567" t="s">
        <v>10</v>
      </c>
      <c r="E567">
        <v>4</v>
      </c>
      <c r="F567">
        <v>300</v>
      </c>
      <c r="G567" s="2">
        <f t="shared" si="24"/>
        <v>1200</v>
      </c>
      <c r="H567" t="str">
        <f t="shared" si="25"/>
        <v>Low</v>
      </c>
      <c r="I567" t="s">
        <v>11</v>
      </c>
      <c r="L567" t="s">
        <v>23</v>
      </c>
      <c r="M567" s="3">
        <f t="shared" si="26"/>
        <v>2202100</v>
      </c>
    </row>
    <row r="568" spans="1:13" ht="15.75" x14ac:dyDescent="0.3">
      <c r="A568" s="1">
        <v>45310</v>
      </c>
      <c r="B568" t="s">
        <v>9</v>
      </c>
      <c r="C568" t="s">
        <v>21</v>
      </c>
      <c r="D568" t="s">
        <v>10</v>
      </c>
      <c r="E568">
        <v>5</v>
      </c>
      <c r="F568">
        <v>300</v>
      </c>
      <c r="G568" s="2">
        <f t="shared" si="24"/>
        <v>1500</v>
      </c>
      <c r="H568" t="str">
        <f t="shared" si="25"/>
        <v>Low</v>
      </c>
      <c r="I568" t="s">
        <v>14</v>
      </c>
      <c r="L568" t="s">
        <v>9</v>
      </c>
      <c r="M568" s="3">
        <f t="shared" si="26"/>
        <v>1849750</v>
      </c>
    </row>
    <row r="569" spans="1:13" ht="15.75" x14ac:dyDescent="0.3">
      <c r="A569" s="1">
        <v>45552</v>
      </c>
      <c r="B569" t="s">
        <v>24</v>
      </c>
      <c r="C569" t="s">
        <v>16</v>
      </c>
      <c r="D569" t="s">
        <v>18</v>
      </c>
      <c r="E569">
        <v>10</v>
      </c>
      <c r="F569">
        <v>300</v>
      </c>
      <c r="G569" s="2">
        <f t="shared" si="24"/>
        <v>3000</v>
      </c>
      <c r="H569" t="str">
        <f t="shared" si="25"/>
        <v>Low</v>
      </c>
      <c r="I569" t="s">
        <v>11</v>
      </c>
      <c r="L569" t="s">
        <v>24</v>
      </c>
      <c r="M569" s="3">
        <f t="shared" si="26"/>
        <v>2514250</v>
      </c>
    </row>
    <row r="570" spans="1:13" ht="15.75" x14ac:dyDescent="0.3">
      <c r="A570" s="1">
        <v>45466</v>
      </c>
      <c r="B570" t="s">
        <v>15</v>
      </c>
      <c r="C570" t="s">
        <v>22</v>
      </c>
      <c r="D570" t="s">
        <v>17</v>
      </c>
      <c r="E570">
        <v>10</v>
      </c>
      <c r="F570">
        <v>3200</v>
      </c>
      <c r="G570" s="2">
        <f t="shared" si="24"/>
        <v>32000</v>
      </c>
      <c r="H570" t="str">
        <f t="shared" si="25"/>
        <v>High</v>
      </c>
      <c r="I570" t="s">
        <v>8</v>
      </c>
      <c r="L570" t="s">
        <v>15</v>
      </c>
      <c r="M570" s="3">
        <f t="shared" si="26"/>
        <v>2145050</v>
      </c>
    </row>
    <row r="571" spans="1:13" ht="15.75" x14ac:dyDescent="0.3">
      <c r="A571" s="1">
        <v>45606</v>
      </c>
      <c r="B571" t="s">
        <v>15</v>
      </c>
      <c r="C571" t="s">
        <v>16</v>
      </c>
      <c r="D571" t="s">
        <v>18</v>
      </c>
      <c r="E571">
        <v>2</v>
      </c>
      <c r="F571">
        <v>4500</v>
      </c>
      <c r="G571" s="2">
        <f t="shared" si="24"/>
        <v>9000</v>
      </c>
      <c r="H571" t="str">
        <f t="shared" si="25"/>
        <v>Low</v>
      </c>
      <c r="I571" t="s">
        <v>8</v>
      </c>
      <c r="L571" t="s">
        <v>15</v>
      </c>
      <c r="M571" s="3">
        <f t="shared" si="26"/>
        <v>2145050</v>
      </c>
    </row>
    <row r="572" spans="1:13" ht="15.75" x14ac:dyDescent="0.3">
      <c r="A572" s="1">
        <v>45453</v>
      </c>
      <c r="B572" t="s">
        <v>24</v>
      </c>
      <c r="C572" t="s">
        <v>13</v>
      </c>
      <c r="D572" t="s">
        <v>7</v>
      </c>
      <c r="E572">
        <v>2</v>
      </c>
      <c r="F572">
        <v>3200</v>
      </c>
      <c r="G572" s="2">
        <f t="shared" si="24"/>
        <v>6400</v>
      </c>
      <c r="H572" t="str">
        <f t="shared" si="25"/>
        <v>Low</v>
      </c>
      <c r="I572" t="s">
        <v>14</v>
      </c>
      <c r="L572" t="s">
        <v>24</v>
      </c>
      <c r="M572" s="3">
        <f t="shared" si="26"/>
        <v>2514250</v>
      </c>
    </row>
    <row r="573" spans="1:13" ht="15.75" x14ac:dyDescent="0.3">
      <c r="A573" s="1">
        <v>45384</v>
      </c>
      <c r="B573" t="s">
        <v>15</v>
      </c>
      <c r="C573" t="s">
        <v>21</v>
      </c>
      <c r="D573" t="s">
        <v>17</v>
      </c>
      <c r="E573">
        <v>6</v>
      </c>
      <c r="F573">
        <v>150</v>
      </c>
      <c r="G573" s="2">
        <f t="shared" si="24"/>
        <v>900</v>
      </c>
      <c r="H573" t="str">
        <f t="shared" si="25"/>
        <v>Low</v>
      </c>
      <c r="I573" t="s">
        <v>8</v>
      </c>
      <c r="L573" t="s">
        <v>15</v>
      </c>
      <c r="M573" s="3">
        <f t="shared" si="26"/>
        <v>2145050</v>
      </c>
    </row>
    <row r="574" spans="1:13" ht="15.75" x14ac:dyDescent="0.3">
      <c r="A574" s="1">
        <v>45654</v>
      </c>
      <c r="B574" t="s">
        <v>25</v>
      </c>
      <c r="C574" t="s">
        <v>21</v>
      </c>
      <c r="D574" t="s">
        <v>18</v>
      </c>
      <c r="E574">
        <v>1</v>
      </c>
      <c r="F574">
        <v>4500</v>
      </c>
      <c r="G574" s="2">
        <f t="shared" si="24"/>
        <v>4500</v>
      </c>
      <c r="H574" t="str">
        <f t="shared" si="25"/>
        <v>Low</v>
      </c>
      <c r="I574" t="s">
        <v>8</v>
      </c>
      <c r="L574" t="s">
        <v>25</v>
      </c>
      <c r="M574" s="3">
        <f t="shared" si="26"/>
        <v>2243250</v>
      </c>
    </row>
    <row r="575" spans="1:13" ht="15.75" x14ac:dyDescent="0.3">
      <c r="A575" s="1">
        <v>45598</v>
      </c>
      <c r="B575" t="s">
        <v>19</v>
      </c>
      <c r="C575" t="s">
        <v>21</v>
      </c>
      <c r="D575" t="s">
        <v>10</v>
      </c>
      <c r="E575">
        <v>5</v>
      </c>
      <c r="F575">
        <v>3200</v>
      </c>
      <c r="G575" s="2">
        <f t="shared" si="24"/>
        <v>16000</v>
      </c>
      <c r="H575" t="str">
        <f t="shared" si="25"/>
        <v>High</v>
      </c>
      <c r="I575" t="s">
        <v>8</v>
      </c>
      <c r="L575" t="s">
        <v>19</v>
      </c>
      <c r="M575" s="3">
        <f t="shared" si="26"/>
        <v>2179300</v>
      </c>
    </row>
    <row r="576" spans="1:13" ht="15.75" x14ac:dyDescent="0.3">
      <c r="A576" s="1">
        <v>45354</v>
      </c>
      <c r="B576" t="s">
        <v>12</v>
      </c>
      <c r="C576" t="s">
        <v>22</v>
      </c>
      <c r="D576" t="s">
        <v>7</v>
      </c>
      <c r="E576">
        <v>3</v>
      </c>
      <c r="F576">
        <v>300</v>
      </c>
      <c r="G576" s="2">
        <f t="shared" si="24"/>
        <v>900</v>
      </c>
      <c r="H576" t="str">
        <f t="shared" si="25"/>
        <v>Low</v>
      </c>
      <c r="I576" t="s">
        <v>11</v>
      </c>
      <c r="L576" t="s">
        <v>12</v>
      </c>
      <c r="M576" s="3">
        <f t="shared" si="26"/>
        <v>2865050</v>
      </c>
    </row>
    <row r="577" spans="1:13" ht="15.75" x14ac:dyDescent="0.3">
      <c r="A577" s="1">
        <v>45353</v>
      </c>
      <c r="B577" t="s">
        <v>12</v>
      </c>
      <c r="C577" t="s">
        <v>22</v>
      </c>
      <c r="D577" t="s">
        <v>20</v>
      </c>
      <c r="E577">
        <v>9</v>
      </c>
      <c r="F577">
        <v>150</v>
      </c>
      <c r="G577" s="2">
        <f t="shared" si="24"/>
        <v>1350</v>
      </c>
      <c r="H577" t="str">
        <f t="shared" si="25"/>
        <v>Low</v>
      </c>
      <c r="I577" t="s">
        <v>8</v>
      </c>
      <c r="L577" t="s">
        <v>12</v>
      </c>
      <c r="M577" s="3">
        <f t="shared" si="26"/>
        <v>2865050</v>
      </c>
    </row>
    <row r="578" spans="1:13" ht="15.75" x14ac:dyDescent="0.3">
      <c r="A578" s="1">
        <v>45465</v>
      </c>
      <c r="B578" t="s">
        <v>19</v>
      </c>
      <c r="C578" t="s">
        <v>21</v>
      </c>
      <c r="D578" t="s">
        <v>17</v>
      </c>
      <c r="E578">
        <v>3</v>
      </c>
      <c r="F578">
        <v>8500</v>
      </c>
      <c r="G578" s="2">
        <f t="shared" si="24"/>
        <v>25500</v>
      </c>
      <c r="H578" t="str">
        <f t="shared" si="25"/>
        <v>High</v>
      </c>
      <c r="I578" t="s">
        <v>11</v>
      </c>
      <c r="L578" t="s">
        <v>19</v>
      </c>
      <c r="M578" s="3">
        <f t="shared" si="26"/>
        <v>2179300</v>
      </c>
    </row>
    <row r="579" spans="1:13" ht="15.75" x14ac:dyDescent="0.3">
      <c r="A579" s="1">
        <v>45565</v>
      </c>
      <c r="B579" t="s">
        <v>23</v>
      </c>
      <c r="C579" t="s">
        <v>21</v>
      </c>
      <c r="D579" t="s">
        <v>17</v>
      </c>
      <c r="E579">
        <v>4</v>
      </c>
      <c r="F579">
        <v>4500</v>
      </c>
      <c r="G579" s="2">
        <f t="shared" ref="G579:G642" si="27">E579*F579</f>
        <v>18000</v>
      </c>
      <c r="H579" t="str">
        <f t="shared" ref="H579:H642" si="28">IF(G579&gt;=10000,"High","Low")</f>
        <v>High</v>
      </c>
      <c r="I579" t="s">
        <v>14</v>
      </c>
      <c r="L579" t="s">
        <v>23</v>
      </c>
      <c r="M579" s="3">
        <f t="shared" ref="M579:M642" si="29">SUMIF(B:B,L579,G:G)</f>
        <v>2202100</v>
      </c>
    </row>
    <row r="580" spans="1:13" ht="15.75" x14ac:dyDescent="0.3">
      <c r="A580" s="1">
        <v>45359</v>
      </c>
      <c r="B580" t="s">
        <v>23</v>
      </c>
      <c r="C580" t="s">
        <v>22</v>
      </c>
      <c r="D580" t="s">
        <v>10</v>
      </c>
      <c r="E580">
        <v>8</v>
      </c>
      <c r="F580">
        <v>4500</v>
      </c>
      <c r="G580" s="2">
        <f t="shared" si="27"/>
        <v>36000</v>
      </c>
      <c r="H580" t="str">
        <f t="shared" si="28"/>
        <v>High</v>
      </c>
      <c r="I580" t="s">
        <v>14</v>
      </c>
      <c r="L580" t="s">
        <v>23</v>
      </c>
      <c r="M580" s="3">
        <f t="shared" si="29"/>
        <v>2202100</v>
      </c>
    </row>
    <row r="581" spans="1:13" ht="15.75" x14ac:dyDescent="0.3">
      <c r="A581" s="1">
        <v>45332</v>
      </c>
      <c r="B581" t="s">
        <v>15</v>
      </c>
      <c r="C581" t="s">
        <v>16</v>
      </c>
      <c r="D581" t="s">
        <v>18</v>
      </c>
      <c r="E581">
        <v>8</v>
      </c>
      <c r="F581">
        <v>300</v>
      </c>
      <c r="G581" s="2">
        <f t="shared" si="27"/>
        <v>2400</v>
      </c>
      <c r="H581" t="str">
        <f t="shared" si="28"/>
        <v>Low</v>
      </c>
      <c r="I581" t="s">
        <v>11</v>
      </c>
      <c r="L581" t="s">
        <v>15</v>
      </c>
      <c r="M581" s="3">
        <f t="shared" si="29"/>
        <v>2145050</v>
      </c>
    </row>
    <row r="582" spans="1:13" ht="15.75" x14ac:dyDescent="0.3">
      <c r="A582" s="1">
        <v>45471</v>
      </c>
      <c r="B582" t="s">
        <v>15</v>
      </c>
      <c r="C582" t="s">
        <v>22</v>
      </c>
      <c r="D582" t="s">
        <v>7</v>
      </c>
      <c r="E582">
        <v>2</v>
      </c>
      <c r="F582">
        <v>3200</v>
      </c>
      <c r="G582" s="2">
        <f t="shared" si="27"/>
        <v>6400</v>
      </c>
      <c r="H582" t="str">
        <f t="shared" si="28"/>
        <v>Low</v>
      </c>
      <c r="I582" t="s">
        <v>14</v>
      </c>
      <c r="L582" t="s">
        <v>15</v>
      </c>
      <c r="M582" s="3">
        <f t="shared" si="29"/>
        <v>2145050</v>
      </c>
    </row>
    <row r="583" spans="1:13" ht="15.75" x14ac:dyDescent="0.3">
      <c r="A583" s="1">
        <v>45619</v>
      </c>
      <c r="B583" t="s">
        <v>24</v>
      </c>
      <c r="C583" t="s">
        <v>6</v>
      </c>
      <c r="D583" t="s">
        <v>17</v>
      </c>
      <c r="E583">
        <v>7</v>
      </c>
      <c r="F583">
        <v>150</v>
      </c>
      <c r="G583" s="2">
        <f t="shared" si="27"/>
        <v>1050</v>
      </c>
      <c r="H583" t="str">
        <f t="shared" si="28"/>
        <v>Low</v>
      </c>
      <c r="I583" t="s">
        <v>14</v>
      </c>
      <c r="L583" t="s">
        <v>24</v>
      </c>
      <c r="M583" s="3">
        <f t="shared" si="29"/>
        <v>2514250</v>
      </c>
    </row>
    <row r="584" spans="1:13" ht="15.75" x14ac:dyDescent="0.3">
      <c r="A584" s="1">
        <v>45400</v>
      </c>
      <c r="B584" t="s">
        <v>19</v>
      </c>
      <c r="C584" t="s">
        <v>6</v>
      </c>
      <c r="D584" t="s">
        <v>18</v>
      </c>
      <c r="E584">
        <v>1</v>
      </c>
      <c r="F584">
        <v>4500</v>
      </c>
      <c r="G584" s="2">
        <f t="shared" si="27"/>
        <v>4500</v>
      </c>
      <c r="H584" t="str">
        <f t="shared" si="28"/>
        <v>Low</v>
      </c>
      <c r="I584" t="s">
        <v>8</v>
      </c>
      <c r="L584" t="s">
        <v>19</v>
      </c>
      <c r="M584" s="3">
        <f t="shared" si="29"/>
        <v>2179300</v>
      </c>
    </row>
    <row r="585" spans="1:13" ht="15.75" x14ac:dyDescent="0.3">
      <c r="A585" s="1">
        <v>45586</v>
      </c>
      <c r="B585" t="s">
        <v>26</v>
      </c>
      <c r="C585" t="s">
        <v>6</v>
      </c>
      <c r="D585" t="s">
        <v>17</v>
      </c>
      <c r="E585">
        <v>6</v>
      </c>
      <c r="F585">
        <v>3200</v>
      </c>
      <c r="G585" s="2">
        <f t="shared" si="27"/>
        <v>19200</v>
      </c>
      <c r="H585" t="str">
        <f t="shared" si="28"/>
        <v>High</v>
      </c>
      <c r="I585" t="s">
        <v>8</v>
      </c>
      <c r="L585" t="s">
        <v>26</v>
      </c>
      <c r="M585" s="3">
        <f t="shared" si="29"/>
        <v>2430500</v>
      </c>
    </row>
    <row r="586" spans="1:13" ht="15.75" x14ac:dyDescent="0.3">
      <c r="A586" s="1">
        <v>45329</v>
      </c>
      <c r="B586" t="s">
        <v>23</v>
      </c>
      <c r="C586" t="s">
        <v>22</v>
      </c>
      <c r="D586" t="s">
        <v>18</v>
      </c>
      <c r="E586">
        <v>6</v>
      </c>
      <c r="F586">
        <v>4500</v>
      </c>
      <c r="G586" s="2">
        <f t="shared" si="27"/>
        <v>27000</v>
      </c>
      <c r="H586" t="str">
        <f t="shared" si="28"/>
        <v>High</v>
      </c>
      <c r="I586" t="s">
        <v>14</v>
      </c>
      <c r="L586" t="s">
        <v>23</v>
      </c>
      <c r="M586" s="3">
        <f t="shared" si="29"/>
        <v>2202100</v>
      </c>
    </row>
    <row r="587" spans="1:13" ht="15.75" x14ac:dyDescent="0.3">
      <c r="A587" s="1">
        <v>45440</v>
      </c>
      <c r="B587" t="s">
        <v>23</v>
      </c>
      <c r="C587" t="s">
        <v>16</v>
      </c>
      <c r="D587" t="s">
        <v>20</v>
      </c>
      <c r="E587">
        <v>10</v>
      </c>
      <c r="F587">
        <v>3200</v>
      </c>
      <c r="G587" s="2">
        <f t="shared" si="27"/>
        <v>32000</v>
      </c>
      <c r="H587" t="str">
        <f t="shared" si="28"/>
        <v>High</v>
      </c>
      <c r="I587" t="s">
        <v>14</v>
      </c>
      <c r="L587" t="s">
        <v>23</v>
      </c>
      <c r="M587" s="3">
        <f t="shared" si="29"/>
        <v>2202100</v>
      </c>
    </row>
    <row r="588" spans="1:13" ht="15.75" x14ac:dyDescent="0.3">
      <c r="A588" s="1">
        <v>45427</v>
      </c>
      <c r="B588" t="s">
        <v>23</v>
      </c>
      <c r="C588" t="s">
        <v>21</v>
      </c>
      <c r="D588" t="s">
        <v>7</v>
      </c>
      <c r="E588">
        <v>2</v>
      </c>
      <c r="F588">
        <v>8500</v>
      </c>
      <c r="G588" s="2">
        <f t="shared" si="27"/>
        <v>17000</v>
      </c>
      <c r="H588" t="str">
        <f t="shared" si="28"/>
        <v>High</v>
      </c>
      <c r="I588" t="s">
        <v>14</v>
      </c>
      <c r="L588" t="s">
        <v>23</v>
      </c>
      <c r="M588" s="3">
        <f t="shared" si="29"/>
        <v>2202100</v>
      </c>
    </row>
    <row r="589" spans="1:13" ht="15.75" x14ac:dyDescent="0.3">
      <c r="A589" s="1">
        <v>45554</v>
      </c>
      <c r="B589" t="s">
        <v>24</v>
      </c>
      <c r="C589" t="s">
        <v>22</v>
      </c>
      <c r="D589" t="s">
        <v>7</v>
      </c>
      <c r="E589">
        <v>10</v>
      </c>
      <c r="F589">
        <v>150</v>
      </c>
      <c r="G589" s="2">
        <f t="shared" si="27"/>
        <v>1500</v>
      </c>
      <c r="H589" t="str">
        <f t="shared" si="28"/>
        <v>Low</v>
      </c>
      <c r="I589" t="s">
        <v>14</v>
      </c>
      <c r="L589" t="s">
        <v>24</v>
      </c>
      <c r="M589" s="3">
        <f t="shared" si="29"/>
        <v>2514250</v>
      </c>
    </row>
    <row r="590" spans="1:13" ht="15.75" x14ac:dyDescent="0.3">
      <c r="A590" s="1">
        <v>45401</v>
      </c>
      <c r="B590" t="s">
        <v>15</v>
      </c>
      <c r="C590" t="s">
        <v>6</v>
      </c>
      <c r="D590" t="s">
        <v>20</v>
      </c>
      <c r="E590">
        <v>3</v>
      </c>
      <c r="F590">
        <v>150</v>
      </c>
      <c r="G590" s="2">
        <f t="shared" si="27"/>
        <v>450</v>
      </c>
      <c r="H590" t="str">
        <f t="shared" si="28"/>
        <v>Low</v>
      </c>
      <c r="I590" t="s">
        <v>14</v>
      </c>
      <c r="L590" t="s">
        <v>15</v>
      </c>
      <c r="M590" s="3">
        <f t="shared" si="29"/>
        <v>2145050</v>
      </c>
    </row>
    <row r="591" spans="1:13" ht="15.75" x14ac:dyDescent="0.3">
      <c r="A591" s="1">
        <v>45400</v>
      </c>
      <c r="B591" t="s">
        <v>23</v>
      </c>
      <c r="C591" t="s">
        <v>6</v>
      </c>
      <c r="D591" t="s">
        <v>18</v>
      </c>
      <c r="E591">
        <v>9</v>
      </c>
      <c r="F591">
        <v>8500</v>
      </c>
      <c r="G591" s="2">
        <f t="shared" si="27"/>
        <v>76500</v>
      </c>
      <c r="H591" t="str">
        <f t="shared" si="28"/>
        <v>High</v>
      </c>
      <c r="I591" t="s">
        <v>11</v>
      </c>
      <c r="L591" t="s">
        <v>23</v>
      </c>
      <c r="M591" s="3">
        <f t="shared" si="29"/>
        <v>2202100</v>
      </c>
    </row>
    <row r="592" spans="1:13" ht="15.75" x14ac:dyDescent="0.3">
      <c r="A592" s="1">
        <v>45299</v>
      </c>
      <c r="B592" t="s">
        <v>9</v>
      </c>
      <c r="C592" t="s">
        <v>6</v>
      </c>
      <c r="D592" t="s">
        <v>18</v>
      </c>
      <c r="E592">
        <v>3</v>
      </c>
      <c r="F592">
        <v>3200</v>
      </c>
      <c r="G592" s="2">
        <f t="shared" si="27"/>
        <v>9600</v>
      </c>
      <c r="H592" t="str">
        <f t="shared" si="28"/>
        <v>Low</v>
      </c>
      <c r="I592" t="s">
        <v>11</v>
      </c>
      <c r="L592" t="s">
        <v>9</v>
      </c>
      <c r="M592" s="3">
        <f t="shared" si="29"/>
        <v>1849750</v>
      </c>
    </row>
    <row r="593" spans="1:13" ht="15.75" x14ac:dyDescent="0.3">
      <c r="A593" s="1">
        <v>45616</v>
      </c>
      <c r="B593" t="s">
        <v>24</v>
      </c>
      <c r="C593" t="s">
        <v>13</v>
      </c>
      <c r="D593" t="s">
        <v>7</v>
      </c>
      <c r="E593">
        <v>2</v>
      </c>
      <c r="F593">
        <v>3200</v>
      </c>
      <c r="G593" s="2">
        <f t="shared" si="27"/>
        <v>6400</v>
      </c>
      <c r="H593" t="str">
        <f t="shared" si="28"/>
        <v>Low</v>
      </c>
      <c r="I593" t="s">
        <v>11</v>
      </c>
      <c r="L593" t="s">
        <v>24</v>
      </c>
      <c r="M593" s="3">
        <f t="shared" si="29"/>
        <v>2514250</v>
      </c>
    </row>
    <row r="594" spans="1:13" ht="15.75" x14ac:dyDescent="0.3">
      <c r="A594" s="1">
        <v>45318</v>
      </c>
      <c r="B594" t="s">
        <v>23</v>
      </c>
      <c r="C594" t="s">
        <v>13</v>
      </c>
      <c r="D594" t="s">
        <v>18</v>
      </c>
      <c r="E594">
        <v>4</v>
      </c>
      <c r="F594">
        <v>150</v>
      </c>
      <c r="G594" s="2">
        <f t="shared" si="27"/>
        <v>600</v>
      </c>
      <c r="H594" t="str">
        <f t="shared" si="28"/>
        <v>Low</v>
      </c>
      <c r="I594" t="s">
        <v>11</v>
      </c>
      <c r="L594" t="s">
        <v>23</v>
      </c>
      <c r="M594" s="3">
        <f t="shared" si="29"/>
        <v>2202100</v>
      </c>
    </row>
    <row r="595" spans="1:13" ht="15.75" x14ac:dyDescent="0.3">
      <c r="A595" s="1">
        <v>45301</v>
      </c>
      <c r="B595" t="s">
        <v>26</v>
      </c>
      <c r="C595" t="s">
        <v>16</v>
      </c>
      <c r="D595" t="s">
        <v>7</v>
      </c>
      <c r="E595">
        <v>5</v>
      </c>
      <c r="F595">
        <v>3200</v>
      </c>
      <c r="G595" s="2">
        <f t="shared" si="27"/>
        <v>16000</v>
      </c>
      <c r="H595" t="str">
        <f t="shared" si="28"/>
        <v>High</v>
      </c>
      <c r="I595" t="s">
        <v>8</v>
      </c>
      <c r="L595" t="s">
        <v>26</v>
      </c>
      <c r="M595" s="3">
        <f t="shared" si="29"/>
        <v>2430500</v>
      </c>
    </row>
    <row r="596" spans="1:13" ht="15.75" x14ac:dyDescent="0.3">
      <c r="A596" s="1">
        <v>45524</v>
      </c>
      <c r="B596" t="s">
        <v>9</v>
      </c>
      <c r="C596" t="s">
        <v>6</v>
      </c>
      <c r="D596" t="s">
        <v>18</v>
      </c>
      <c r="E596">
        <v>5</v>
      </c>
      <c r="F596">
        <v>150</v>
      </c>
      <c r="G596" s="2">
        <f t="shared" si="27"/>
        <v>750</v>
      </c>
      <c r="H596" t="str">
        <f t="shared" si="28"/>
        <v>Low</v>
      </c>
      <c r="I596" t="s">
        <v>8</v>
      </c>
      <c r="L596" t="s">
        <v>9</v>
      </c>
      <c r="M596" s="3">
        <f t="shared" si="29"/>
        <v>1849750</v>
      </c>
    </row>
    <row r="597" spans="1:13" ht="15.75" x14ac:dyDescent="0.3">
      <c r="A597" s="1">
        <v>45403</v>
      </c>
      <c r="B597" t="s">
        <v>23</v>
      </c>
      <c r="C597" t="s">
        <v>22</v>
      </c>
      <c r="D597" t="s">
        <v>7</v>
      </c>
      <c r="E597">
        <v>4</v>
      </c>
      <c r="F597">
        <v>3200</v>
      </c>
      <c r="G597" s="2">
        <f t="shared" si="27"/>
        <v>12800</v>
      </c>
      <c r="H597" t="str">
        <f t="shared" si="28"/>
        <v>High</v>
      </c>
      <c r="I597" t="s">
        <v>8</v>
      </c>
      <c r="L597" t="s">
        <v>23</v>
      </c>
      <c r="M597" s="3">
        <f t="shared" si="29"/>
        <v>2202100</v>
      </c>
    </row>
    <row r="598" spans="1:13" ht="15.75" x14ac:dyDescent="0.3">
      <c r="A598" s="1">
        <v>45424</v>
      </c>
      <c r="B598" t="s">
        <v>26</v>
      </c>
      <c r="C598" t="s">
        <v>6</v>
      </c>
      <c r="D598" t="s">
        <v>7</v>
      </c>
      <c r="E598">
        <v>1</v>
      </c>
      <c r="F598">
        <v>150</v>
      </c>
      <c r="G598" s="2">
        <f t="shared" si="27"/>
        <v>150</v>
      </c>
      <c r="H598" t="str">
        <f t="shared" si="28"/>
        <v>Low</v>
      </c>
      <c r="I598" t="s">
        <v>14</v>
      </c>
      <c r="L598" t="s">
        <v>26</v>
      </c>
      <c r="M598" s="3">
        <f t="shared" si="29"/>
        <v>2430500</v>
      </c>
    </row>
    <row r="599" spans="1:13" ht="15.75" x14ac:dyDescent="0.3">
      <c r="A599" s="1">
        <v>45535</v>
      </c>
      <c r="B599" t="s">
        <v>26</v>
      </c>
      <c r="C599" t="s">
        <v>21</v>
      </c>
      <c r="D599" t="s">
        <v>20</v>
      </c>
      <c r="E599">
        <v>4</v>
      </c>
      <c r="F599">
        <v>150</v>
      </c>
      <c r="G599" s="2">
        <f t="shared" si="27"/>
        <v>600</v>
      </c>
      <c r="H599" t="str">
        <f t="shared" si="28"/>
        <v>Low</v>
      </c>
      <c r="I599" t="s">
        <v>14</v>
      </c>
      <c r="L599" t="s">
        <v>26</v>
      </c>
      <c r="M599" s="3">
        <f t="shared" si="29"/>
        <v>2430500</v>
      </c>
    </row>
    <row r="600" spans="1:13" ht="15.75" x14ac:dyDescent="0.3">
      <c r="A600" s="1">
        <v>45638</v>
      </c>
      <c r="B600" t="s">
        <v>25</v>
      </c>
      <c r="C600" t="s">
        <v>22</v>
      </c>
      <c r="D600" t="s">
        <v>7</v>
      </c>
      <c r="E600">
        <v>1</v>
      </c>
      <c r="F600">
        <v>8500</v>
      </c>
      <c r="G600" s="2">
        <f t="shared" si="27"/>
        <v>8500</v>
      </c>
      <c r="H600" t="str">
        <f t="shared" si="28"/>
        <v>Low</v>
      </c>
      <c r="I600" t="s">
        <v>11</v>
      </c>
      <c r="L600" t="s">
        <v>25</v>
      </c>
      <c r="M600" s="3">
        <f t="shared" si="29"/>
        <v>2243250</v>
      </c>
    </row>
    <row r="601" spans="1:13" ht="15.75" x14ac:dyDescent="0.3">
      <c r="A601" s="1">
        <v>45580</v>
      </c>
      <c r="B601" t="s">
        <v>26</v>
      </c>
      <c r="C601" t="s">
        <v>6</v>
      </c>
      <c r="D601" t="s">
        <v>20</v>
      </c>
      <c r="E601">
        <v>6</v>
      </c>
      <c r="F601">
        <v>150</v>
      </c>
      <c r="G601" s="2">
        <f t="shared" si="27"/>
        <v>900</v>
      </c>
      <c r="H601" t="str">
        <f t="shared" si="28"/>
        <v>Low</v>
      </c>
      <c r="I601" t="s">
        <v>8</v>
      </c>
      <c r="L601" t="s">
        <v>26</v>
      </c>
      <c r="M601" s="3">
        <f t="shared" si="29"/>
        <v>2430500</v>
      </c>
    </row>
    <row r="602" spans="1:13" ht="15.75" x14ac:dyDescent="0.3">
      <c r="A602" s="1">
        <v>45537</v>
      </c>
      <c r="B602" t="s">
        <v>15</v>
      </c>
      <c r="C602" t="s">
        <v>13</v>
      </c>
      <c r="D602" t="s">
        <v>10</v>
      </c>
      <c r="E602">
        <v>1</v>
      </c>
      <c r="F602">
        <v>8500</v>
      </c>
      <c r="G602" s="2">
        <f t="shared" si="27"/>
        <v>8500</v>
      </c>
      <c r="H602" t="str">
        <f t="shared" si="28"/>
        <v>Low</v>
      </c>
      <c r="I602" t="s">
        <v>11</v>
      </c>
      <c r="L602" t="s">
        <v>15</v>
      </c>
      <c r="M602" s="3">
        <f t="shared" si="29"/>
        <v>2145050</v>
      </c>
    </row>
    <row r="603" spans="1:13" ht="15.75" x14ac:dyDescent="0.3">
      <c r="A603" s="1">
        <v>45295</v>
      </c>
      <c r="B603" t="s">
        <v>23</v>
      </c>
      <c r="C603" t="s">
        <v>6</v>
      </c>
      <c r="D603" t="s">
        <v>18</v>
      </c>
      <c r="E603">
        <v>8</v>
      </c>
      <c r="F603">
        <v>300</v>
      </c>
      <c r="G603" s="2">
        <f t="shared" si="27"/>
        <v>2400</v>
      </c>
      <c r="H603" t="str">
        <f t="shared" si="28"/>
        <v>Low</v>
      </c>
      <c r="I603" t="s">
        <v>14</v>
      </c>
      <c r="L603" t="s">
        <v>23</v>
      </c>
      <c r="M603" s="3">
        <f t="shared" si="29"/>
        <v>2202100</v>
      </c>
    </row>
    <row r="604" spans="1:13" ht="15.75" x14ac:dyDescent="0.3">
      <c r="A604" s="1">
        <v>45350</v>
      </c>
      <c r="B604" t="s">
        <v>26</v>
      </c>
      <c r="C604" t="s">
        <v>16</v>
      </c>
      <c r="D604" t="s">
        <v>20</v>
      </c>
      <c r="E604">
        <v>5</v>
      </c>
      <c r="F604">
        <v>3200</v>
      </c>
      <c r="G604" s="2">
        <f t="shared" si="27"/>
        <v>16000</v>
      </c>
      <c r="H604" t="str">
        <f t="shared" si="28"/>
        <v>High</v>
      </c>
      <c r="I604" t="s">
        <v>8</v>
      </c>
      <c r="L604" t="s">
        <v>26</v>
      </c>
      <c r="M604" s="3">
        <f t="shared" si="29"/>
        <v>2430500</v>
      </c>
    </row>
    <row r="605" spans="1:13" ht="15.75" x14ac:dyDescent="0.3">
      <c r="A605" s="1">
        <v>45503</v>
      </c>
      <c r="B605" t="s">
        <v>19</v>
      </c>
      <c r="C605" t="s">
        <v>16</v>
      </c>
      <c r="D605" t="s">
        <v>10</v>
      </c>
      <c r="E605">
        <v>1</v>
      </c>
      <c r="F605">
        <v>8500</v>
      </c>
      <c r="G605" s="2">
        <f t="shared" si="27"/>
        <v>8500</v>
      </c>
      <c r="H605" t="str">
        <f t="shared" si="28"/>
        <v>Low</v>
      </c>
      <c r="I605" t="s">
        <v>8</v>
      </c>
      <c r="L605" t="s">
        <v>19</v>
      </c>
      <c r="M605" s="3">
        <f t="shared" si="29"/>
        <v>2179300</v>
      </c>
    </row>
    <row r="606" spans="1:13" ht="15.75" x14ac:dyDescent="0.3">
      <c r="A606" s="1">
        <v>45356</v>
      </c>
      <c r="B606" t="s">
        <v>12</v>
      </c>
      <c r="C606" t="s">
        <v>6</v>
      </c>
      <c r="D606" t="s">
        <v>18</v>
      </c>
      <c r="E606">
        <v>7</v>
      </c>
      <c r="F606">
        <v>300</v>
      </c>
      <c r="G606" s="2">
        <f t="shared" si="27"/>
        <v>2100</v>
      </c>
      <c r="H606" t="str">
        <f t="shared" si="28"/>
        <v>Low</v>
      </c>
      <c r="I606" t="s">
        <v>14</v>
      </c>
      <c r="L606" t="s">
        <v>12</v>
      </c>
      <c r="M606" s="3">
        <f t="shared" si="29"/>
        <v>2865050</v>
      </c>
    </row>
    <row r="607" spans="1:13" ht="15.75" x14ac:dyDescent="0.3">
      <c r="A607" s="1">
        <v>45404</v>
      </c>
      <c r="B607" t="s">
        <v>26</v>
      </c>
      <c r="C607" t="s">
        <v>22</v>
      </c>
      <c r="D607" t="s">
        <v>18</v>
      </c>
      <c r="E607">
        <v>8</v>
      </c>
      <c r="F607">
        <v>3200</v>
      </c>
      <c r="G607" s="2">
        <f t="shared" si="27"/>
        <v>25600</v>
      </c>
      <c r="H607" t="str">
        <f t="shared" si="28"/>
        <v>High</v>
      </c>
      <c r="I607" t="s">
        <v>8</v>
      </c>
      <c r="L607" t="s">
        <v>26</v>
      </c>
      <c r="M607" s="3">
        <f t="shared" si="29"/>
        <v>2430500</v>
      </c>
    </row>
    <row r="608" spans="1:13" ht="15.75" x14ac:dyDescent="0.3">
      <c r="A608" s="1">
        <v>45519</v>
      </c>
      <c r="B608" t="s">
        <v>25</v>
      </c>
      <c r="C608" t="s">
        <v>22</v>
      </c>
      <c r="D608" t="s">
        <v>10</v>
      </c>
      <c r="E608">
        <v>2</v>
      </c>
      <c r="F608">
        <v>3200</v>
      </c>
      <c r="G608" s="2">
        <f t="shared" si="27"/>
        <v>6400</v>
      </c>
      <c r="H608" t="str">
        <f t="shared" si="28"/>
        <v>Low</v>
      </c>
      <c r="I608" t="s">
        <v>8</v>
      </c>
      <c r="L608" t="s">
        <v>25</v>
      </c>
      <c r="M608" s="3">
        <f t="shared" si="29"/>
        <v>2243250</v>
      </c>
    </row>
    <row r="609" spans="1:13" ht="15.75" x14ac:dyDescent="0.3">
      <c r="A609" s="1">
        <v>45451</v>
      </c>
      <c r="B609" t="s">
        <v>23</v>
      </c>
      <c r="C609" t="s">
        <v>22</v>
      </c>
      <c r="D609" t="s">
        <v>20</v>
      </c>
      <c r="E609">
        <v>3</v>
      </c>
      <c r="F609">
        <v>300</v>
      </c>
      <c r="G609" s="2">
        <f t="shared" si="27"/>
        <v>900</v>
      </c>
      <c r="H609" t="str">
        <f t="shared" si="28"/>
        <v>Low</v>
      </c>
      <c r="I609" t="s">
        <v>14</v>
      </c>
      <c r="L609" t="s">
        <v>23</v>
      </c>
      <c r="M609" s="3">
        <f t="shared" si="29"/>
        <v>2202100</v>
      </c>
    </row>
    <row r="610" spans="1:13" ht="15.75" x14ac:dyDescent="0.3">
      <c r="A610" s="1">
        <v>45543</v>
      </c>
      <c r="B610" t="s">
        <v>15</v>
      </c>
      <c r="C610" t="s">
        <v>22</v>
      </c>
      <c r="D610" t="s">
        <v>18</v>
      </c>
      <c r="E610">
        <v>2</v>
      </c>
      <c r="F610">
        <v>8500</v>
      </c>
      <c r="G610" s="2">
        <f t="shared" si="27"/>
        <v>17000</v>
      </c>
      <c r="H610" t="str">
        <f t="shared" si="28"/>
        <v>High</v>
      </c>
      <c r="I610" t="s">
        <v>11</v>
      </c>
      <c r="L610" t="s">
        <v>15</v>
      </c>
      <c r="M610" s="3">
        <f t="shared" si="29"/>
        <v>2145050</v>
      </c>
    </row>
    <row r="611" spans="1:13" ht="15.75" x14ac:dyDescent="0.3">
      <c r="A611" s="1">
        <v>45556</v>
      </c>
      <c r="B611" t="s">
        <v>24</v>
      </c>
      <c r="C611" t="s">
        <v>13</v>
      </c>
      <c r="D611" t="s">
        <v>17</v>
      </c>
      <c r="E611">
        <v>10</v>
      </c>
      <c r="F611">
        <v>3200</v>
      </c>
      <c r="G611" s="2">
        <f t="shared" si="27"/>
        <v>32000</v>
      </c>
      <c r="H611" t="str">
        <f t="shared" si="28"/>
        <v>High</v>
      </c>
      <c r="I611" t="s">
        <v>14</v>
      </c>
      <c r="L611" t="s">
        <v>24</v>
      </c>
      <c r="M611" s="3">
        <f t="shared" si="29"/>
        <v>2514250</v>
      </c>
    </row>
    <row r="612" spans="1:13" ht="15.75" x14ac:dyDescent="0.3">
      <c r="A612" s="1">
        <v>45315</v>
      </c>
      <c r="B612" t="s">
        <v>12</v>
      </c>
      <c r="C612" t="s">
        <v>21</v>
      </c>
      <c r="D612" t="s">
        <v>20</v>
      </c>
      <c r="E612">
        <v>9</v>
      </c>
      <c r="F612">
        <v>4500</v>
      </c>
      <c r="G612" s="2">
        <f t="shared" si="27"/>
        <v>40500</v>
      </c>
      <c r="H612" t="str">
        <f t="shared" si="28"/>
        <v>High</v>
      </c>
      <c r="I612" t="s">
        <v>11</v>
      </c>
      <c r="L612" t="s">
        <v>12</v>
      </c>
      <c r="M612" s="3">
        <f t="shared" si="29"/>
        <v>2865050</v>
      </c>
    </row>
    <row r="613" spans="1:13" ht="15.75" x14ac:dyDescent="0.3">
      <c r="A613" s="1">
        <v>45330</v>
      </c>
      <c r="B613" t="s">
        <v>15</v>
      </c>
      <c r="C613" t="s">
        <v>16</v>
      </c>
      <c r="D613" t="s">
        <v>17</v>
      </c>
      <c r="E613">
        <v>10</v>
      </c>
      <c r="F613">
        <v>8500</v>
      </c>
      <c r="G613" s="2">
        <f t="shared" si="27"/>
        <v>85000</v>
      </c>
      <c r="H613" t="str">
        <f t="shared" si="28"/>
        <v>High</v>
      </c>
      <c r="I613" t="s">
        <v>14</v>
      </c>
      <c r="L613" t="s">
        <v>15</v>
      </c>
      <c r="M613" s="3">
        <f t="shared" si="29"/>
        <v>2145050</v>
      </c>
    </row>
    <row r="614" spans="1:13" ht="15.75" x14ac:dyDescent="0.3">
      <c r="A614" s="1">
        <v>45451</v>
      </c>
      <c r="B614" t="s">
        <v>12</v>
      </c>
      <c r="C614" t="s">
        <v>22</v>
      </c>
      <c r="D614" t="s">
        <v>10</v>
      </c>
      <c r="E614">
        <v>5</v>
      </c>
      <c r="F614">
        <v>4500</v>
      </c>
      <c r="G614" s="2">
        <f t="shared" si="27"/>
        <v>22500</v>
      </c>
      <c r="H614" t="str">
        <f t="shared" si="28"/>
        <v>High</v>
      </c>
      <c r="I614" t="s">
        <v>8</v>
      </c>
      <c r="L614" t="s">
        <v>12</v>
      </c>
      <c r="M614" s="3">
        <f t="shared" si="29"/>
        <v>2865050</v>
      </c>
    </row>
    <row r="615" spans="1:13" ht="15.75" x14ac:dyDescent="0.3">
      <c r="A615" s="1">
        <v>45474</v>
      </c>
      <c r="B615" t="s">
        <v>26</v>
      </c>
      <c r="C615" t="s">
        <v>16</v>
      </c>
      <c r="D615" t="s">
        <v>20</v>
      </c>
      <c r="E615">
        <v>5</v>
      </c>
      <c r="F615">
        <v>300</v>
      </c>
      <c r="G615" s="2">
        <f t="shared" si="27"/>
        <v>1500</v>
      </c>
      <c r="H615" t="str">
        <f t="shared" si="28"/>
        <v>Low</v>
      </c>
      <c r="I615" t="s">
        <v>11</v>
      </c>
      <c r="L615" t="s">
        <v>26</v>
      </c>
      <c r="M615" s="3">
        <f t="shared" si="29"/>
        <v>2430500</v>
      </c>
    </row>
    <row r="616" spans="1:13" ht="15.75" x14ac:dyDescent="0.3">
      <c r="A616" s="1">
        <v>45571</v>
      </c>
      <c r="B616" t="s">
        <v>24</v>
      </c>
      <c r="C616" t="s">
        <v>22</v>
      </c>
      <c r="D616" t="s">
        <v>10</v>
      </c>
      <c r="E616">
        <v>10</v>
      </c>
      <c r="F616">
        <v>8500</v>
      </c>
      <c r="G616" s="2">
        <f t="shared" si="27"/>
        <v>85000</v>
      </c>
      <c r="H616" t="str">
        <f t="shared" si="28"/>
        <v>High</v>
      </c>
      <c r="I616" t="s">
        <v>8</v>
      </c>
      <c r="L616" t="s">
        <v>24</v>
      </c>
      <c r="M616" s="3">
        <f t="shared" si="29"/>
        <v>2514250</v>
      </c>
    </row>
    <row r="617" spans="1:13" ht="15.75" x14ac:dyDescent="0.3">
      <c r="A617" s="1">
        <v>45475</v>
      </c>
      <c r="B617" t="s">
        <v>15</v>
      </c>
      <c r="C617" t="s">
        <v>13</v>
      </c>
      <c r="D617" t="s">
        <v>10</v>
      </c>
      <c r="E617">
        <v>10</v>
      </c>
      <c r="F617">
        <v>300</v>
      </c>
      <c r="G617" s="2">
        <f t="shared" si="27"/>
        <v>3000</v>
      </c>
      <c r="H617" t="str">
        <f t="shared" si="28"/>
        <v>Low</v>
      </c>
      <c r="I617" t="s">
        <v>11</v>
      </c>
      <c r="L617" t="s">
        <v>15</v>
      </c>
      <c r="M617" s="3">
        <f t="shared" si="29"/>
        <v>2145050</v>
      </c>
    </row>
    <row r="618" spans="1:13" ht="15.75" x14ac:dyDescent="0.3">
      <c r="A618" s="1">
        <v>45450</v>
      </c>
      <c r="B618" t="s">
        <v>26</v>
      </c>
      <c r="C618" t="s">
        <v>22</v>
      </c>
      <c r="D618" t="s">
        <v>17</v>
      </c>
      <c r="E618">
        <v>6</v>
      </c>
      <c r="F618">
        <v>300</v>
      </c>
      <c r="G618" s="2">
        <f t="shared" si="27"/>
        <v>1800</v>
      </c>
      <c r="H618" t="str">
        <f t="shared" si="28"/>
        <v>Low</v>
      </c>
      <c r="I618" t="s">
        <v>14</v>
      </c>
      <c r="L618" t="s">
        <v>26</v>
      </c>
      <c r="M618" s="3">
        <f t="shared" si="29"/>
        <v>2430500</v>
      </c>
    </row>
    <row r="619" spans="1:13" ht="15.75" x14ac:dyDescent="0.3">
      <c r="A619" s="1">
        <v>45315</v>
      </c>
      <c r="B619" t="s">
        <v>15</v>
      </c>
      <c r="C619" t="s">
        <v>13</v>
      </c>
      <c r="D619" t="s">
        <v>20</v>
      </c>
      <c r="E619">
        <v>6</v>
      </c>
      <c r="F619">
        <v>4500</v>
      </c>
      <c r="G619" s="2">
        <f t="shared" si="27"/>
        <v>27000</v>
      </c>
      <c r="H619" t="str">
        <f t="shared" si="28"/>
        <v>High</v>
      </c>
      <c r="I619" t="s">
        <v>14</v>
      </c>
      <c r="L619" t="s">
        <v>15</v>
      </c>
      <c r="M619" s="3">
        <f t="shared" si="29"/>
        <v>2145050</v>
      </c>
    </row>
    <row r="620" spans="1:13" ht="15.75" x14ac:dyDescent="0.3">
      <c r="A620" s="1">
        <v>45652</v>
      </c>
      <c r="B620" t="s">
        <v>25</v>
      </c>
      <c r="C620" t="s">
        <v>13</v>
      </c>
      <c r="D620" t="s">
        <v>18</v>
      </c>
      <c r="E620">
        <v>6</v>
      </c>
      <c r="F620">
        <v>8500</v>
      </c>
      <c r="G620" s="2">
        <f t="shared" si="27"/>
        <v>51000</v>
      </c>
      <c r="H620" t="str">
        <f t="shared" si="28"/>
        <v>High</v>
      </c>
      <c r="I620" t="s">
        <v>8</v>
      </c>
      <c r="L620" t="s">
        <v>25</v>
      </c>
      <c r="M620" s="3">
        <f t="shared" si="29"/>
        <v>2243250</v>
      </c>
    </row>
    <row r="621" spans="1:13" ht="15.75" x14ac:dyDescent="0.3">
      <c r="A621" s="1">
        <v>45543</v>
      </c>
      <c r="B621" t="s">
        <v>26</v>
      </c>
      <c r="C621" t="s">
        <v>22</v>
      </c>
      <c r="D621" t="s">
        <v>17</v>
      </c>
      <c r="E621">
        <v>10</v>
      </c>
      <c r="F621">
        <v>3200</v>
      </c>
      <c r="G621" s="2">
        <f t="shared" si="27"/>
        <v>32000</v>
      </c>
      <c r="H621" t="str">
        <f t="shared" si="28"/>
        <v>High</v>
      </c>
      <c r="I621" t="s">
        <v>11</v>
      </c>
      <c r="L621" t="s">
        <v>26</v>
      </c>
      <c r="M621" s="3">
        <f t="shared" si="29"/>
        <v>2430500</v>
      </c>
    </row>
    <row r="622" spans="1:13" ht="15.75" x14ac:dyDescent="0.3">
      <c r="A622" s="1">
        <v>45594</v>
      </c>
      <c r="B622" t="s">
        <v>12</v>
      </c>
      <c r="C622" t="s">
        <v>13</v>
      </c>
      <c r="D622" t="s">
        <v>17</v>
      </c>
      <c r="E622">
        <v>6</v>
      </c>
      <c r="F622">
        <v>4500</v>
      </c>
      <c r="G622" s="2">
        <f t="shared" si="27"/>
        <v>27000</v>
      </c>
      <c r="H622" t="str">
        <f t="shared" si="28"/>
        <v>High</v>
      </c>
      <c r="I622" t="s">
        <v>14</v>
      </c>
      <c r="L622" t="s">
        <v>12</v>
      </c>
      <c r="M622" s="3">
        <f t="shared" si="29"/>
        <v>2865050</v>
      </c>
    </row>
    <row r="623" spans="1:13" ht="15.75" x14ac:dyDescent="0.3">
      <c r="A623" s="1">
        <v>45311</v>
      </c>
      <c r="B623" t="s">
        <v>19</v>
      </c>
      <c r="C623" t="s">
        <v>21</v>
      </c>
      <c r="D623" t="s">
        <v>10</v>
      </c>
      <c r="E623">
        <v>1</v>
      </c>
      <c r="F623">
        <v>4500</v>
      </c>
      <c r="G623" s="2">
        <f t="shared" si="27"/>
        <v>4500</v>
      </c>
      <c r="H623" t="str">
        <f t="shared" si="28"/>
        <v>Low</v>
      </c>
      <c r="I623" t="s">
        <v>8</v>
      </c>
      <c r="L623" t="s">
        <v>19</v>
      </c>
      <c r="M623" s="3">
        <f t="shared" si="29"/>
        <v>2179300</v>
      </c>
    </row>
    <row r="624" spans="1:13" ht="15.75" x14ac:dyDescent="0.3">
      <c r="A624" s="1">
        <v>45479</v>
      </c>
      <c r="B624" t="s">
        <v>19</v>
      </c>
      <c r="C624" t="s">
        <v>22</v>
      </c>
      <c r="D624" t="s">
        <v>17</v>
      </c>
      <c r="E624">
        <v>2</v>
      </c>
      <c r="F624">
        <v>300</v>
      </c>
      <c r="G624" s="2">
        <f t="shared" si="27"/>
        <v>600</v>
      </c>
      <c r="H624" t="str">
        <f t="shared" si="28"/>
        <v>Low</v>
      </c>
      <c r="I624" t="s">
        <v>11</v>
      </c>
      <c r="L624" t="s">
        <v>19</v>
      </c>
      <c r="M624" s="3">
        <f t="shared" si="29"/>
        <v>2179300</v>
      </c>
    </row>
    <row r="625" spans="1:13" ht="15.75" x14ac:dyDescent="0.3">
      <c r="A625" s="1">
        <v>45586</v>
      </c>
      <c r="B625" t="s">
        <v>24</v>
      </c>
      <c r="C625" t="s">
        <v>21</v>
      </c>
      <c r="D625" t="s">
        <v>10</v>
      </c>
      <c r="E625">
        <v>8</v>
      </c>
      <c r="F625">
        <v>4500</v>
      </c>
      <c r="G625" s="2">
        <f t="shared" si="27"/>
        <v>36000</v>
      </c>
      <c r="H625" t="str">
        <f t="shared" si="28"/>
        <v>High</v>
      </c>
      <c r="I625" t="s">
        <v>11</v>
      </c>
      <c r="L625" t="s">
        <v>24</v>
      </c>
      <c r="M625" s="3">
        <f t="shared" si="29"/>
        <v>2514250</v>
      </c>
    </row>
    <row r="626" spans="1:13" ht="15.75" x14ac:dyDescent="0.3">
      <c r="A626" s="1">
        <v>45613</v>
      </c>
      <c r="B626" t="s">
        <v>12</v>
      </c>
      <c r="C626" t="s">
        <v>13</v>
      </c>
      <c r="D626" t="s">
        <v>17</v>
      </c>
      <c r="E626">
        <v>6</v>
      </c>
      <c r="F626">
        <v>300</v>
      </c>
      <c r="G626" s="2">
        <f t="shared" si="27"/>
        <v>1800</v>
      </c>
      <c r="H626" t="str">
        <f t="shared" si="28"/>
        <v>Low</v>
      </c>
      <c r="I626" t="s">
        <v>14</v>
      </c>
      <c r="L626" t="s">
        <v>12</v>
      </c>
      <c r="M626" s="3">
        <f t="shared" si="29"/>
        <v>2865050</v>
      </c>
    </row>
    <row r="627" spans="1:13" ht="15.75" x14ac:dyDescent="0.3">
      <c r="A627" s="1">
        <v>45471</v>
      </c>
      <c r="B627" t="s">
        <v>19</v>
      </c>
      <c r="C627" t="s">
        <v>22</v>
      </c>
      <c r="D627" t="s">
        <v>17</v>
      </c>
      <c r="E627">
        <v>2</v>
      </c>
      <c r="F627">
        <v>4500</v>
      </c>
      <c r="G627" s="2">
        <f t="shared" si="27"/>
        <v>9000</v>
      </c>
      <c r="H627" t="str">
        <f t="shared" si="28"/>
        <v>Low</v>
      </c>
      <c r="I627" t="s">
        <v>11</v>
      </c>
      <c r="L627" t="s">
        <v>19</v>
      </c>
      <c r="M627" s="3">
        <f t="shared" si="29"/>
        <v>2179300</v>
      </c>
    </row>
    <row r="628" spans="1:13" ht="15.75" x14ac:dyDescent="0.3">
      <c r="A628" s="1">
        <v>45388</v>
      </c>
      <c r="B628" t="s">
        <v>19</v>
      </c>
      <c r="C628" t="s">
        <v>21</v>
      </c>
      <c r="D628" t="s">
        <v>20</v>
      </c>
      <c r="E628">
        <v>2</v>
      </c>
      <c r="F628">
        <v>4500</v>
      </c>
      <c r="G628" s="2">
        <f t="shared" si="27"/>
        <v>9000</v>
      </c>
      <c r="H628" t="str">
        <f t="shared" si="28"/>
        <v>Low</v>
      </c>
      <c r="I628" t="s">
        <v>14</v>
      </c>
      <c r="L628" t="s">
        <v>19</v>
      </c>
      <c r="M628" s="3">
        <f t="shared" si="29"/>
        <v>2179300</v>
      </c>
    </row>
    <row r="629" spans="1:13" ht="15.75" x14ac:dyDescent="0.3">
      <c r="A629" s="1">
        <v>45579</v>
      </c>
      <c r="B629" t="s">
        <v>19</v>
      </c>
      <c r="C629" t="s">
        <v>22</v>
      </c>
      <c r="D629" t="s">
        <v>20</v>
      </c>
      <c r="E629">
        <v>6</v>
      </c>
      <c r="F629">
        <v>8500</v>
      </c>
      <c r="G629" s="2">
        <f t="shared" si="27"/>
        <v>51000</v>
      </c>
      <c r="H629" t="str">
        <f t="shared" si="28"/>
        <v>High</v>
      </c>
      <c r="I629" t="s">
        <v>8</v>
      </c>
      <c r="L629" t="s">
        <v>19</v>
      </c>
      <c r="M629" s="3">
        <f t="shared" si="29"/>
        <v>2179300</v>
      </c>
    </row>
    <row r="630" spans="1:13" ht="15.75" x14ac:dyDescent="0.3">
      <c r="A630" s="1">
        <v>45349</v>
      </c>
      <c r="B630" t="s">
        <v>12</v>
      </c>
      <c r="C630" t="s">
        <v>6</v>
      </c>
      <c r="D630" t="s">
        <v>18</v>
      </c>
      <c r="E630">
        <v>4</v>
      </c>
      <c r="F630">
        <v>8500</v>
      </c>
      <c r="G630" s="2">
        <f t="shared" si="27"/>
        <v>34000</v>
      </c>
      <c r="H630" t="str">
        <f t="shared" si="28"/>
        <v>High</v>
      </c>
      <c r="I630" t="s">
        <v>8</v>
      </c>
      <c r="L630" t="s">
        <v>12</v>
      </c>
      <c r="M630" s="3">
        <f t="shared" si="29"/>
        <v>2865050</v>
      </c>
    </row>
    <row r="631" spans="1:13" ht="15.75" x14ac:dyDescent="0.3">
      <c r="A631" s="1">
        <v>45484</v>
      </c>
      <c r="B631" t="s">
        <v>19</v>
      </c>
      <c r="C631" t="s">
        <v>13</v>
      </c>
      <c r="D631" t="s">
        <v>10</v>
      </c>
      <c r="E631">
        <v>7</v>
      </c>
      <c r="F631">
        <v>3200</v>
      </c>
      <c r="G631" s="2">
        <f t="shared" si="27"/>
        <v>22400</v>
      </c>
      <c r="H631" t="str">
        <f t="shared" si="28"/>
        <v>High</v>
      </c>
      <c r="I631" t="s">
        <v>14</v>
      </c>
      <c r="L631" t="s">
        <v>19</v>
      </c>
      <c r="M631" s="3">
        <f t="shared" si="29"/>
        <v>2179300</v>
      </c>
    </row>
    <row r="632" spans="1:13" ht="15.75" x14ac:dyDescent="0.3">
      <c r="A632" s="1">
        <v>45455</v>
      </c>
      <c r="B632" t="s">
        <v>12</v>
      </c>
      <c r="C632" t="s">
        <v>6</v>
      </c>
      <c r="D632" t="s">
        <v>20</v>
      </c>
      <c r="E632">
        <v>8</v>
      </c>
      <c r="F632">
        <v>300</v>
      </c>
      <c r="G632" s="2">
        <f t="shared" si="27"/>
        <v>2400</v>
      </c>
      <c r="H632" t="str">
        <f t="shared" si="28"/>
        <v>Low</v>
      </c>
      <c r="I632" t="s">
        <v>11</v>
      </c>
      <c r="L632" t="s">
        <v>12</v>
      </c>
      <c r="M632" s="3">
        <f t="shared" si="29"/>
        <v>2865050</v>
      </c>
    </row>
    <row r="633" spans="1:13" ht="15.75" x14ac:dyDescent="0.3">
      <c r="A633" s="1">
        <v>45314</v>
      </c>
      <c r="B633" t="s">
        <v>26</v>
      </c>
      <c r="C633" t="s">
        <v>6</v>
      </c>
      <c r="D633" t="s">
        <v>20</v>
      </c>
      <c r="E633">
        <v>1</v>
      </c>
      <c r="F633">
        <v>8500</v>
      </c>
      <c r="G633" s="2">
        <f t="shared" si="27"/>
        <v>8500</v>
      </c>
      <c r="H633" t="str">
        <f t="shared" si="28"/>
        <v>Low</v>
      </c>
      <c r="I633" t="s">
        <v>14</v>
      </c>
      <c r="L633" t="s">
        <v>26</v>
      </c>
      <c r="M633" s="3">
        <f t="shared" si="29"/>
        <v>2430500</v>
      </c>
    </row>
    <row r="634" spans="1:13" ht="15.75" x14ac:dyDescent="0.3">
      <c r="A634" s="1">
        <v>45519</v>
      </c>
      <c r="B634" t="s">
        <v>12</v>
      </c>
      <c r="C634" t="s">
        <v>21</v>
      </c>
      <c r="D634" t="s">
        <v>10</v>
      </c>
      <c r="E634">
        <v>5</v>
      </c>
      <c r="F634">
        <v>8500</v>
      </c>
      <c r="G634" s="2">
        <f t="shared" si="27"/>
        <v>42500</v>
      </c>
      <c r="H634" t="str">
        <f t="shared" si="28"/>
        <v>High</v>
      </c>
      <c r="I634" t="s">
        <v>14</v>
      </c>
      <c r="L634" t="s">
        <v>12</v>
      </c>
      <c r="M634" s="3">
        <f t="shared" si="29"/>
        <v>2865050</v>
      </c>
    </row>
    <row r="635" spans="1:13" ht="15.75" x14ac:dyDescent="0.3">
      <c r="A635" s="1">
        <v>45638</v>
      </c>
      <c r="B635" t="s">
        <v>9</v>
      </c>
      <c r="C635" t="s">
        <v>22</v>
      </c>
      <c r="D635" t="s">
        <v>18</v>
      </c>
      <c r="E635">
        <v>4</v>
      </c>
      <c r="F635">
        <v>300</v>
      </c>
      <c r="G635" s="2">
        <f t="shared" si="27"/>
        <v>1200</v>
      </c>
      <c r="H635" t="str">
        <f t="shared" si="28"/>
        <v>Low</v>
      </c>
      <c r="I635" t="s">
        <v>11</v>
      </c>
      <c r="L635" t="s">
        <v>9</v>
      </c>
      <c r="M635" s="3">
        <f t="shared" si="29"/>
        <v>1849750</v>
      </c>
    </row>
    <row r="636" spans="1:13" ht="15.75" x14ac:dyDescent="0.3">
      <c r="A636" s="1">
        <v>45574</v>
      </c>
      <c r="B636" t="s">
        <v>9</v>
      </c>
      <c r="C636" t="s">
        <v>13</v>
      </c>
      <c r="D636" t="s">
        <v>10</v>
      </c>
      <c r="E636">
        <v>5</v>
      </c>
      <c r="F636">
        <v>3200</v>
      </c>
      <c r="G636" s="2">
        <f t="shared" si="27"/>
        <v>16000</v>
      </c>
      <c r="H636" t="str">
        <f t="shared" si="28"/>
        <v>High</v>
      </c>
      <c r="I636" t="s">
        <v>14</v>
      </c>
      <c r="L636" t="s">
        <v>9</v>
      </c>
      <c r="M636" s="3">
        <f t="shared" si="29"/>
        <v>1849750</v>
      </c>
    </row>
    <row r="637" spans="1:13" ht="15.75" x14ac:dyDescent="0.3">
      <c r="A637" s="1">
        <v>45575</v>
      </c>
      <c r="B637" t="s">
        <v>9</v>
      </c>
      <c r="C637" t="s">
        <v>16</v>
      </c>
      <c r="D637" t="s">
        <v>7</v>
      </c>
      <c r="E637">
        <v>2</v>
      </c>
      <c r="F637">
        <v>300</v>
      </c>
      <c r="G637" s="2">
        <f t="shared" si="27"/>
        <v>600</v>
      </c>
      <c r="H637" t="str">
        <f t="shared" si="28"/>
        <v>Low</v>
      </c>
      <c r="I637" t="s">
        <v>14</v>
      </c>
      <c r="L637" t="s">
        <v>9</v>
      </c>
      <c r="M637" s="3">
        <f t="shared" si="29"/>
        <v>1849750</v>
      </c>
    </row>
    <row r="638" spans="1:13" ht="15.75" x14ac:dyDescent="0.3">
      <c r="A638" s="1">
        <v>45417</v>
      </c>
      <c r="B638" t="s">
        <v>9</v>
      </c>
      <c r="C638" t="s">
        <v>6</v>
      </c>
      <c r="D638" t="s">
        <v>10</v>
      </c>
      <c r="E638">
        <v>8</v>
      </c>
      <c r="F638">
        <v>150</v>
      </c>
      <c r="G638" s="2">
        <f t="shared" si="27"/>
        <v>1200</v>
      </c>
      <c r="H638" t="str">
        <f t="shared" si="28"/>
        <v>Low</v>
      </c>
      <c r="I638" t="s">
        <v>11</v>
      </c>
      <c r="L638" t="s">
        <v>9</v>
      </c>
      <c r="M638" s="3">
        <f t="shared" si="29"/>
        <v>1849750</v>
      </c>
    </row>
    <row r="639" spans="1:13" ht="15.75" x14ac:dyDescent="0.3">
      <c r="A639" s="1">
        <v>45632</v>
      </c>
      <c r="B639" t="s">
        <v>25</v>
      </c>
      <c r="C639" t="s">
        <v>21</v>
      </c>
      <c r="D639" t="s">
        <v>10</v>
      </c>
      <c r="E639">
        <v>10</v>
      </c>
      <c r="F639">
        <v>300</v>
      </c>
      <c r="G639" s="2">
        <f t="shared" si="27"/>
        <v>3000</v>
      </c>
      <c r="H639" t="str">
        <f t="shared" si="28"/>
        <v>Low</v>
      </c>
      <c r="I639" t="s">
        <v>14</v>
      </c>
      <c r="L639" t="s">
        <v>25</v>
      </c>
      <c r="M639" s="3">
        <f t="shared" si="29"/>
        <v>2243250</v>
      </c>
    </row>
    <row r="640" spans="1:13" ht="15.75" x14ac:dyDescent="0.3">
      <c r="A640" s="1">
        <v>45301</v>
      </c>
      <c r="B640" t="s">
        <v>25</v>
      </c>
      <c r="C640" t="s">
        <v>16</v>
      </c>
      <c r="D640" t="s">
        <v>17</v>
      </c>
      <c r="E640">
        <v>4</v>
      </c>
      <c r="F640">
        <v>300</v>
      </c>
      <c r="G640" s="2">
        <f t="shared" si="27"/>
        <v>1200</v>
      </c>
      <c r="H640" t="str">
        <f t="shared" si="28"/>
        <v>Low</v>
      </c>
      <c r="I640" t="s">
        <v>8</v>
      </c>
      <c r="L640" t="s">
        <v>25</v>
      </c>
      <c r="M640" s="3">
        <f t="shared" si="29"/>
        <v>2243250</v>
      </c>
    </row>
    <row r="641" spans="1:13" ht="15.75" x14ac:dyDescent="0.3">
      <c r="A641" s="1">
        <v>45470</v>
      </c>
      <c r="B641" t="s">
        <v>12</v>
      </c>
      <c r="C641" t="s">
        <v>13</v>
      </c>
      <c r="D641" t="s">
        <v>17</v>
      </c>
      <c r="E641">
        <v>3</v>
      </c>
      <c r="F641">
        <v>4500</v>
      </c>
      <c r="G641" s="2">
        <f t="shared" si="27"/>
        <v>13500</v>
      </c>
      <c r="H641" t="str">
        <f t="shared" si="28"/>
        <v>High</v>
      </c>
      <c r="I641" t="s">
        <v>14</v>
      </c>
      <c r="L641" t="s">
        <v>12</v>
      </c>
      <c r="M641" s="3">
        <f t="shared" si="29"/>
        <v>2865050</v>
      </c>
    </row>
    <row r="642" spans="1:13" ht="15.75" x14ac:dyDescent="0.3">
      <c r="A642" s="1">
        <v>45607</v>
      </c>
      <c r="B642" t="s">
        <v>24</v>
      </c>
      <c r="C642" t="s">
        <v>21</v>
      </c>
      <c r="D642" t="s">
        <v>20</v>
      </c>
      <c r="E642">
        <v>8</v>
      </c>
      <c r="F642">
        <v>4500</v>
      </c>
      <c r="G642" s="2">
        <f t="shared" si="27"/>
        <v>36000</v>
      </c>
      <c r="H642" t="str">
        <f t="shared" si="28"/>
        <v>High</v>
      </c>
      <c r="I642" t="s">
        <v>11</v>
      </c>
      <c r="L642" t="s">
        <v>24</v>
      </c>
      <c r="M642" s="3">
        <f t="shared" si="29"/>
        <v>2514250</v>
      </c>
    </row>
    <row r="643" spans="1:13" ht="15.75" x14ac:dyDescent="0.3">
      <c r="A643" s="1">
        <v>45473</v>
      </c>
      <c r="B643" t="s">
        <v>23</v>
      </c>
      <c r="C643" t="s">
        <v>16</v>
      </c>
      <c r="D643" t="s">
        <v>20</v>
      </c>
      <c r="E643">
        <v>2</v>
      </c>
      <c r="F643">
        <v>8500</v>
      </c>
      <c r="G643" s="2">
        <f t="shared" ref="G643:G706" si="30">E643*F643</f>
        <v>17000</v>
      </c>
      <c r="H643" t="str">
        <f t="shared" ref="H643:H706" si="31">IF(G643&gt;=10000,"High","Low")</f>
        <v>High</v>
      </c>
      <c r="I643" t="s">
        <v>14</v>
      </c>
      <c r="L643" t="s">
        <v>23</v>
      </c>
      <c r="M643" s="3">
        <f t="shared" ref="M643:M706" si="32">SUMIF(B:B,L643,G:G)</f>
        <v>2202100</v>
      </c>
    </row>
    <row r="644" spans="1:13" ht="15.75" x14ac:dyDescent="0.3">
      <c r="A644" s="1">
        <v>45455</v>
      </c>
      <c r="B644" t="s">
        <v>9</v>
      </c>
      <c r="C644" t="s">
        <v>22</v>
      </c>
      <c r="D644" t="s">
        <v>20</v>
      </c>
      <c r="E644">
        <v>10</v>
      </c>
      <c r="F644">
        <v>8500</v>
      </c>
      <c r="G644" s="2">
        <f t="shared" si="30"/>
        <v>85000</v>
      </c>
      <c r="H644" t="str">
        <f t="shared" si="31"/>
        <v>High</v>
      </c>
      <c r="I644" t="s">
        <v>8</v>
      </c>
      <c r="L644" t="s">
        <v>9</v>
      </c>
      <c r="M644" s="3">
        <f t="shared" si="32"/>
        <v>1849750</v>
      </c>
    </row>
    <row r="645" spans="1:13" ht="15.75" x14ac:dyDescent="0.3">
      <c r="A645" s="1">
        <v>45566</v>
      </c>
      <c r="B645" t="s">
        <v>12</v>
      </c>
      <c r="C645" t="s">
        <v>21</v>
      </c>
      <c r="D645" t="s">
        <v>17</v>
      </c>
      <c r="E645">
        <v>3</v>
      </c>
      <c r="F645">
        <v>8500</v>
      </c>
      <c r="G645" s="2">
        <f t="shared" si="30"/>
        <v>25500</v>
      </c>
      <c r="H645" t="str">
        <f t="shared" si="31"/>
        <v>High</v>
      </c>
      <c r="I645" t="s">
        <v>14</v>
      </c>
      <c r="L645" t="s">
        <v>12</v>
      </c>
      <c r="M645" s="3">
        <f t="shared" si="32"/>
        <v>2865050</v>
      </c>
    </row>
    <row r="646" spans="1:13" ht="15.75" x14ac:dyDescent="0.3">
      <c r="A646" s="1">
        <v>45436</v>
      </c>
      <c r="B646" t="s">
        <v>24</v>
      </c>
      <c r="C646" t="s">
        <v>13</v>
      </c>
      <c r="D646" t="s">
        <v>20</v>
      </c>
      <c r="E646">
        <v>3</v>
      </c>
      <c r="F646">
        <v>4500</v>
      </c>
      <c r="G646" s="2">
        <f t="shared" si="30"/>
        <v>13500</v>
      </c>
      <c r="H646" t="str">
        <f t="shared" si="31"/>
        <v>High</v>
      </c>
      <c r="I646" t="s">
        <v>8</v>
      </c>
      <c r="L646" t="s">
        <v>24</v>
      </c>
      <c r="M646" s="3">
        <f t="shared" si="32"/>
        <v>2514250</v>
      </c>
    </row>
    <row r="647" spans="1:13" ht="15.75" x14ac:dyDescent="0.3">
      <c r="A647" s="1">
        <v>45556</v>
      </c>
      <c r="B647" t="s">
        <v>23</v>
      </c>
      <c r="C647" t="s">
        <v>21</v>
      </c>
      <c r="D647" t="s">
        <v>18</v>
      </c>
      <c r="E647">
        <v>5</v>
      </c>
      <c r="F647">
        <v>8500</v>
      </c>
      <c r="G647" s="2">
        <f t="shared" si="30"/>
        <v>42500</v>
      </c>
      <c r="H647" t="str">
        <f t="shared" si="31"/>
        <v>High</v>
      </c>
      <c r="I647" t="s">
        <v>11</v>
      </c>
      <c r="L647" t="s">
        <v>23</v>
      </c>
      <c r="M647" s="3">
        <f t="shared" si="32"/>
        <v>2202100</v>
      </c>
    </row>
    <row r="648" spans="1:13" ht="15.75" x14ac:dyDescent="0.3">
      <c r="A648" s="1">
        <v>45373</v>
      </c>
      <c r="B648" t="s">
        <v>23</v>
      </c>
      <c r="C648" t="s">
        <v>16</v>
      </c>
      <c r="D648" t="s">
        <v>20</v>
      </c>
      <c r="E648">
        <v>7</v>
      </c>
      <c r="F648">
        <v>3200</v>
      </c>
      <c r="G648" s="2">
        <f t="shared" si="30"/>
        <v>22400</v>
      </c>
      <c r="H648" t="str">
        <f t="shared" si="31"/>
        <v>High</v>
      </c>
      <c r="I648" t="s">
        <v>8</v>
      </c>
      <c r="L648" t="s">
        <v>23</v>
      </c>
      <c r="M648" s="3">
        <f t="shared" si="32"/>
        <v>2202100</v>
      </c>
    </row>
    <row r="649" spans="1:13" ht="15.75" x14ac:dyDescent="0.3">
      <c r="A649" s="1">
        <v>45592</v>
      </c>
      <c r="B649" t="s">
        <v>9</v>
      </c>
      <c r="C649" t="s">
        <v>21</v>
      </c>
      <c r="D649" t="s">
        <v>20</v>
      </c>
      <c r="E649">
        <v>4</v>
      </c>
      <c r="F649">
        <v>8500</v>
      </c>
      <c r="G649" s="2">
        <f t="shared" si="30"/>
        <v>34000</v>
      </c>
      <c r="H649" t="str">
        <f t="shared" si="31"/>
        <v>High</v>
      </c>
      <c r="I649" t="s">
        <v>11</v>
      </c>
      <c r="L649" t="s">
        <v>9</v>
      </c>
      <c r="M649" s="3">
        <f t="shared" si="32"/>
        <v>1849750</v>
      </c>
    </row>
    <row r="650" spans="1:13" ht="15.75" x14ac:dyDescent="0.3">
      <c r="A650" s="1">
        <v>45569</v>
      </c>
      <c r="B650" t="s">
        <v>23</v>
      </c>
      <c r="C650" t="s">
        <v>21</v>
      </c>
      <c r="D650" t="s">
        <v>7</v>
      </c>
      <c r="E650">
        <v>2</v>
      </c>
      <c r="F650">
        <v>8500</v>
      </c>
      <c r="G650" s="2">
        <f t="shared" si="30"/>
        <v>17000</v>
      </c>
      <c r="H650" t="str">
        <f t="shared" si="31"/>
        <v>High</v>
      </c>
      <c r="I650" t="s">
        <v>11</v>
      </c>
      <c r="L650" t="s">
        <v>23</v>
      </c>
      <c r="M650" s="3">
        <f t="shared" si="32"/>
        <v>2202100</v>
      </c>
    </row>
    <row r="651" spans="1:13" ht="15.75" x14ac:dyDescent="0.3">
      <c r="A651" s="1">
        <v>45557</v>
      </c>
      <c r="B651" t="s">
        <v>24</v>
      </c>
      <c r="C651" t="s">
        <v>6</v>
      </c>
      <c r="D651" t="s">
        <v>7</v>
      </c>
      <c r="E651">
        <v>4</v>
      </c>
      <c r="F651">
        <v>150</v>
      </c>
      <c r="G651" s="2">
        <f t="shared" si="30"/>
        <v>600</v>
      </c>
      <c r="H651" t="str">
        <f t="shared" si="31"/>
        <v>Low</v>
      </c>
      <c r="I651" t="s">
        <v>14</v>
      </c>
      <c r="L651" t="s">
        <v>24</v>
      </c>
      <c r="M651" s="3">
        <f t="shared" si="32"/>
        <v>2514250</v>
      </c>
    </row>
    <row r="652" spans="1:13" ht="15.75" x14ac:dyDescent="0.3">
      <c r="A652" s="1">
        <v>45592</v>
      </c>
      <c r="B652" t="s">
        <v>26</v>
      </c>
      <c r="C652" t="s">
        <v>21</v>
      </c>
      <c r="D652" t="s">
        <v>18</v>
      </c>
      <c r="E652">
        <v>2</v>
      </c>
      <c r="F652">
        <v>150</v>
      </c>
      <c r="G652" s="2">
        <f t="shared" si="30"/>
        <v>300</v>
      </c>
      <c r="H652" t="str">
        <f t="shared" si="31"/>
        <v>Low</v>
      </c>
      <c r="I652" t="s">
        <v>11</v>
      </c>
      <c r="L652" t="s">
        <v>26</v>
      </c>
      <c r="M652" s="3">
        <f t="shared" si="32"/>
        <v>2430500</v>
      </c>
    </row>
    <row r="653" spans="1:13" ht="15.75" x14ac:dyDescent="0.3">
      <c r="A653" s="1">
        <v>45483</v>
      </c>
      <c r="B653" t="s">
        <v>9</v>
      </c>
      <c r="C653" t="s">
        <v>13</v>
      </c>
      <c r="D653" t="s">
        <v>18</v>
      </c>
      <c r="E653">
        <v>6</v>
      </c>
      <c r="F653">
        <v>3200</v>
      </c>
      <c r="G653" s="2">
        <f t="shared" si="30"/>
        <v>19200</v>
      </c>
      <c r="H653" t="str">
        <f t="shared" si="31"/>
        <v>High</v>
      </c>
      <c r="I653" t="s">
        <v>11</v>
      </c>
      <c r="L653" t="s">
        <v>9</v>
      </c>
      <c r="M653" s="3">
        <f t="shared" si="32"/>
        <v>1849750</v>
      </c>
    </row>
    <row r="654" spans="1:13" ht="15.75" x14ac:dyDescent="0.3">
      <c r="A654" s="1">
        <v>45298</v>
      </c>
      <c r="B654" t="s">
        <v>26</v>
      </c>
      <c r="C654" t="s">
        <v>16</v>
      </c>
      <c r="D654" t="s">
        <v>18</v>
      </c>
      <c r="E654">
        <v>5</v>
      </c>
      <c r="F654">
        <v>3200</v>
      </c>
      <c r="G654" s="2">
        <f t="shared" si="30"/>
        <v>16000</v>
      </c>
      <c r="H654" t="str">
        <f t="shared" si="31"/>
        <v>High</v>
      </c>
      <c r="I654" t="s">
        <v>8</v>
      </c>
      <c r="L654" t="s">
        <v>26</v>
      </c>
      <c r="M654" s="3">
        <f t="shared" si="32"/>
        <v>2430500</v>
      </c>
    </row>
    <row r="655" spans="1:13" ht="15.75" x14ac:dyDescent="0.3">
      <c r="A655" s="1">
        <v>45535</v>
      </c>
      <c r="B655" t="s">
        <v>19</v>
      </c>
      <c r="C655" t="s">
        <v>6</v>
      </c>
      <c r="D655" t="s">
        <v>7</v>
      </c>
      <c r="E655">
        <v>1</v>
      </c>
      <c r="F655">
        <v>3200</v>
      </c>
      <c r="G655" s="2">
        <f t="shared" si="30"/>
        <v>3200</v>
      </c>
      <c r="H655" t="str">
        <f t="shared" si="31"/>
        <v>Low</v>
      </c>
      <c r="I655" t="s">
        <v>14</v>
      </c>
      <c r="L655" t="s">
        <v>19</v>
      </c>
      <c r="M655" s="3">
        <f t="shared" si="32"/>
        <v>2179300</v>
      </c>
    </row>
    <row r="656" spans="1:13" ht="15.75" x14ac:dyDescent="0.3">
      <c r="A656" s="1">
        <v>45617</v>
      </c>
      <c r="B656" t="s">
        <v>26</v>
      </c>
      <c r="C656" t="s">
        <v>16</v>
      </c>
      <c r="D656" t="s">
        <v>10</v>
      </c>
      <c r="E656">
        <v>2</v>
      </c>
      <c r="F656">
        <v>150</v>
      </c>
      <c r="G656" s="2">
        <f t="shared" si="30"/>
        <v>300</v>
      </c>
      <c r="H656" t="str">
        <f t="shared" si="31"/>
        <v>Low</v>
      </c>
      <c r="I656" t="s">
        <v>8</v>
      </c>
      <c r="L656" t="s">
        <v>26</v>
      </c>
      <c r="M656" s="3">
        <f t="shared" si="32"/>
        <v>2430500</v>
      </c>
    </row>
    <row r="657" spans="1:13" ht="15.75" x14ac:dyDescent="0.3">
      <c r="A657" s="1">
        <v>45599</v>
      </c>
      <c r="B657" t="s">
        <v>12</v>
      </c>
      <c r="C657" t="s">
        <v>21</v>
      </c>
      <c r="D657" t="s">
        <v>20</v>
      </c>
      <c r="E657">
        <v>10</v>
      </c>
      <c r="F657">
        <v>300</v>
      </c>
      <c r="G657" s="2">
        <f t="shared" si="30"/>
        <v>3000</v>
      </c>
      <c r="H657" t="str">
        <f t="shared" si="31"/>
        <v>Low</v>
      </c>
      <c r="I657" t="s">
        <v>8</v>
      </c>
      <c r="L657" t="s">
        <v>12</v>
      </c>
      <c r="M657" s="3">
        <f t="shared" si="32"/>
        <v>2865050</v>
      </c>
    </row>
    <row r="658" spans="1:13" ht="15.75" x14ac:dyDescent="0.3">
      <c r="A658" s="1">
        <v>45342</v>
      </c>
      <c r="B658" t="s">
        <v>25</v>
      </c>
      <c r="C658" t="s">
        <v>21</v>
      </c>
      <c r="D658" t="s">
        <v>7</v>
      </c>
      <c r="E658">
        <v>9</v>
      </c>
      <c r="F658">
        <v>8500</v>
      </c>
      <c r="G658" s="2">
        <f t="shared" si="30"/>
        <v>76500</v>
      </c>
      <c r="H658" t="str">
        <f t="shared" si="31"/>
        <v>High</v>
      </c>
      <c r="I658" t="s">
        <v>11</v>
      </c>
      <c r="L658" t="s">
        <v>25</v>
      </c>
      <c r="M658" s="3">
        <f t="shared" si="32"/>
        <v>2243250</v>
      </c>
    </row>
    <row r="659" spans="1:13" ht="15.75" x14ac:dyDescent="0.3">
      <c r="A659" s="1">
        <v>45334</v>
      </c>
      <c r="B659" t="s">
        <v>23</v>
      </c>
      <c r="C659" t="s">
        <v>6</v>
      </c>
      <c r="D659" t="s">
        <v>7</v>
      </c>
      <c r="E659">
        <v>1</v>
      </c>
      <c r="F659">
        <v>150</v>
      </c>
      <c r="G659" s="2">
        <f t="shared" si="30"/>
        <v>150</v>
      </c>
      <c r="H659" t="str">
        <f t="shared" si="31"/>
        <v>Low</v>
      </c>
      <c r="I659" t="s">
        <v>8</v>
      </c>
      <c r="L659" t="s">
        <v>23</v>
      </c>
      <c r="M659" s="3">
        <f t="shared" si="32"/>
        <v>2202100</v>
      </c>
    </row>
    <row r="660" spans="1:13" ht="15.75" x14ac:dyDescent="0.3">
      <c r="A660" s="1">
        <v>45572</v>
      </c>
      <c r="B660" t="s">
        <v>19</v>
      </c>
      <c r="C660" t="s">
        <v>13</v>
      </c>
      <c r="D660" t="s">
        <v>17</v>
      </c>
      <c r="E660">
        <v>5</v>
      </c>
      <c r="F660">
        <v>150</v>
      </c>
      <c r="G660" s="2">
        <f t="shared" si="30"/>
        <v>750</v>
      </c>
      <c r="H660" t="str">
        <f t="shared" si="31"/>
        <v>Low</v>
      </c>
      <c r="I660" t="s">
        <v>8</v>
      </c>
      <c r="L660" t="s">
        <v>19</v>
      </c>
      <c r="M660" s="3">
        <f t="shared" si="32"/>
        <v>2179300</v>
      </c>
    </row>
    <row r="661" spans="1:13" ht="15.75" x14ac:dyDescent="0.3">
      <c r="A661" s="1">
        <v>45350</v>
      </c>
      <c r="B661" t="s">
        <v>15</v>
      </c>
      <c r="C661" t="s">
        <v>13</v>
      </c>
      <c r="D661" t="s">
        <v>10</v>
      </c>
      <c r="E661">
        <v>2</v>
      </c>
      <c r="F661">
        <v>4500</v>
      </c>
      <c r="G661" s="2">
        <f t="shared" si="30"/>
        <v>9000</v>
      </c>
      <c r="H661" t="str">
        <f t="shared" si="31"/>
        <v>Low</v>
      </c>
      <c r="I661" t="s">
        <v>8</v>
      </c>
      <c r="L661" t="s">
        <v>15</v>
      </c>
      <c r="M661" s="3">
        <f t="shared" si="32"/>
        <v>2145050</v>
      </c>
    </row>
    <row r="662" spans="1:13" ht="15.75" x14ac:dyDescent="0.3">
      <c r="A662" s="1">
        <v>45632</v>
      </c>
      <c r="B662" t="s">
        <v>25</v>
      </c>
      <c r="C662" t="s">
        <v>13</v>
      </c>
      <c r="D662" t="s">
        <v>10</v>
      </c>
      <c r="E662">
        <v>1</v>
      </c>
      <c r="F662">
        <v>300</v>
      </c>
      <c r="G662" s="2">
        <f t="shared" si="30"/>
        <v>300</v>
      </c>
      <c r="H662" t="str">
        <f t="shared" si="31"/>
        <v>Low</v>
      </c>
      <c r="I662" t="s">
        <v>11</v>
      </c>
      <c r="L662" t="s">
        <v>25</v>
      </c>
      <c r="M662" s="3">
        <f t="shared" si="32"/>
        <v>2243250</v>
      </c>
    </row>
    <row r="663" spans="1:13" ht="15.75" x14ac:dyDescent="0.3">
      <c r="A663" s="1">
        <v>45422</v>
      </c>
      <c r="B663" t="s">
        <v>9</v>
      </c>
      <c r="C663" t="s">
        <v>6</v>
      </c>
      <c r="D663" t="s">
        <v>18</v>
      </c>
      <c r="E663">
        <v>5</v>
      </c>
      <c r="F663">
        <v>300</v>
      </c>
      <c r="G663" s="2">
        <f t="shared" si="30"/>
        <v>1500</v>
      </c>
      <c r="H663" t="str">
        <f t="shared" si="31"/>
        <v>Low</v>
      </c>
      <c r="I663" t="s">
        <v>11</v>
      </c>
      <c r="L663" t="s">
        <v>9</v>
      </c>
      <c r="M663" s="3">
        <f t="shared" si="32"/>
        <v>1849750</v>
      </c>
    </row>
    <row r="664" spans="1:13" ht="15.75" x14ac:dyDescent="0.3">
      <c r="A664" s="1">
        <v>45499</v>
      </c>
      <c r="B664" t="s">
        <v>26</v>
      </c>
      <c r="C664" t="s">
        <v>13</v>
      </c>
      <c r="D664" t="s">
        <v>20</v>
      </c>
      <c r="E664">
        <v>5</v>
      </c>
      <c r="F664">
        <v>3200</v>
      </c>
      <c r="G664" s="2">
        <f t="shared" si="30"/>
        <v>16000</v>
      </c>
      <c r="H664" t="str">
        <f t="shared" si="31"/>
        <v>High</v>
      </c>
      <c r="I664" t="s">
        <v>8</v>
      </c>
      <c r="L664" t="s">
        <v>26</v>
      </c>
      <c r="M664" s="3">
        <f t="shared" si="32"/>
        <v>2430500</v>
      </c>
    </row>
    <row r="665" spans="1:13" ht="15.75" x14ac:dyDescent="0.3">
      <c r="A665" s="1">
        <v>45318</v>
      </c>
      <c r="B665" t="s">
        <v>26</v>
      </c>
      <c r="C665" t="s">
        <v>16</v>
      </c>
      <c r="D665" t="s">
        <v>10</v>
      </c>
      <c r="E665">
        <v>10</v>
      </c>
      <c r="F665">
        <v>8500</v>
      </c>
      <c r="G665" s="2">
        <f t="shared" si="30"/>
        <v>85000</v>
      </c>
      <c r="H665" t="str">
        <f t="shared" si="31"/>
        <v>High</v>
      </c>
      <c r="I665" t="s">
        <v>8</v>
      </c>
      <c r="L665" t="s">
        <v>26</v>
      </c>
      <c r="M665" s="3">
        <f t="shared" si="32"/>
        <v>2430500</v>
      </c>
    </row>
    <row r="666" spans="1:13" ht="15.75" x14ac:dyDescent="0.3">
      <c r="A666" s="1">
        <v>45415</v>
      </c>
      <c r="B666" t="s">
        <v>26</v>
      </c>
      <c r="C666" t="s">
        <v>6</v>
      </c>
      <c r="D666" t="s">
        <v>18</v>
      </c>
      <c r="E666">
        <v>1</v>
      </c>
      <c r="F666">
        <v>300</v>
      </c>
      <c r="G666" s="2">
        <f t="shared" si="30"/>
        <v>300</v>
      </c>
      <c r="H666" t="str">
        <f t="shared" si="31"/>
        <v>Low</v>
      </c>
      <c r="I666" t="s">
        <v>14</v>
      </c>
      <c r="L666" t="s">
        <v>26</v>
      </c>
      <c r="M666" s="3">
        <f t="shared" si="32"/>
        <v>2430500</v>
      </c>
    </row>
    <row r="667" spans="1:13" ht="15.75" x14ac:dyDescent="0.3">
      <c r="A667" s="1">
        <v>45335</v>
      </c>
      <c r="B667" t="s">
        <v>25</v>
      </c>
      <c r="C667" t="s">
        <v>21</v>
      </c>
      <c r="D667" t="s">
        <v>18</v>
      </c>
      <c r="E667">
        <v>3</v>
      </c>
      <c r="F667">
        <v>3200</v>
      </c>
      <c r="G667" s="2">
        <f t="shared" si="30"/>
        <v>9600</v>
      </c>
      <c r="H667" t="str">
        <f t="shared" si="31"/>
        <v>Low</v>
      </c>
      <c r="I667" t="s">
        <v>11</v>
      </c>
      <c r="L667" t="s">
        <v>25</v>
      </c>
      <c r="M667" s="3">
        <f t="shared" si="32"/>
        <v>2243250</v>
      </c>
    </row>
    <row r="668" spans="1:13" ht="15.75" x14ac:dyDescent="0.3">
      <c r="A668" s="1">
        <v>45478</v>
      </c>
      <c r="B668" t="s">
        <v>24</v>
      </c>
      <c r="C668" t="s">
        <v>22</v>
      </c>
      <c r="D668" t="s">
        <v>17</v>
      </c>
      <c r="E668">
        <v>8</v>
      </c>
      <c r="F668">
        <v>3200</v>
      </c>
      <c r="G668" s="2">
        <f t="shared" si="30"/>
        <v>25600</v>
      </c>
      <c r="H668" t="str">
        <f t="shared" si="31"/>
        <v>High</v>
      </c>
      <c r="I668" t="s">
        <v>11</v>
      </c>
      <c r="L668" t="s">
        <v>24</v>
      </c>
      <c r="M668" s="3">
        <f t="shared" si="32"/>
        <v>2514250</v>
      </c>
    </row>
    <row r="669" spans="1:13" ht="15.75" x14ac:dyDescent="0.3">
      <c r="A669" s="1">
        <v>45521</v>
      </c>
      <c r="B669" t="s">
        <v>15</v>
      </c>
      <c r="C669" t="s">
        <v>13</v>
      </c>
      <c r="D669" t="s">
        <v>7</v>
      </c>
      <c r="E669">
        <v>7</v>
      </c>
      <c r="F669">
        <v>4500</v>
      </c>
      <c r="G669" s="2">
        <f t="shared" si="30"/>
        <v>31500</v>
      </c>
      <c r="H669" t="str">
        <f t="shared" si="31"/>
        <v>High</v>
      </c>
      <c r="I669" t="s">
        <v>14</v>
      </c>
      <c r="L669" t="s">
        <v>15</v>
      </c>
      <c r="M669" s="3">
        <f t="shared" si="32"/>
        <v>2145050</v>
      </c>
    </row>
    <row r="670" spans="1:13" ht="15.75" x14ac:dyDescent="0.3">
      <c r="A670" s="1">
        <v>45433</v>
      </c>
      <c r="B670" t="s">
        <v>19</v>
      </c>
      <c r="C670" t="s">
        <v>22</v>
      </c>
      <c r="D670" t="s">
        <v>10</v>
      </c>
      <c r="E670">
        <v>4</v>
      </c>
      <c r="F670">
        <v>150</v>
      </c>
      <c r="G670" s="2">
        <f t="shared" si="30"/>
        <v>600</v>
      </c>
      <c r="H670" t="str">
        <f t="shared" si="31"/>
        <v>Low</v>
      </c>
      <c r="I670" t="s">
        <v>14</v>
      </c>
      <c r="L670" t="s">
        <v>19</v>
      </c>
      <c r="M670" s="3">
        <f t="shared" si="32"/>
        <v>2179300</v>
      </c>
    </row>
    <row r="671" spans="1:13" ht="15.75" x14ac:dyDescent="0.3">
      <c r="A671" s="1">
        <v>45494</v>
      </c>
      <c r="B671" t="s">
        <v>15</v>
      </c>
      <c r="C671" t="s">
        <v>21</v>
      </c>
      <c r="D671" t="s">
        <v>20</v>
      </c>
      <c r="E671">
        <v>8</v>
      </c>
      <c r="F671">
        <v>300</v>
      </c>
      <c r="G671" s="2">
        <f t="shared" si="30"/>
        <v>2400</v>
      </c>
      <c r="H671" t="str">
        <f t="shared" si="31"/>
        <v>Low</v>
      </c>
      <c r="I671" t="s">
        <v>11</v>
      </c>
      <c r="L671" t="s">
        <v>15</v>
      </c>
      <c r="M671" s="3">
        <f t="shared" si="32"/>
        <v>2145050</v>
      </c>
    </row>
    <row r="672" spans="1:13" ht="15.75" x14ac:dyDescent="0.3">
      <c r="A672" s="1">
        <v>45457</v>
      </c>
      <c r="B672" t="s">
        <v>12</v>
      </c>
      <c r="C672" t="s">
        <v>13</v>
      </c>
      <c r="D672" t="s">
        <v>10</v>
      </c>
      <c r="E672">
        <v>6</v>
      </c>
      <c r="F672">
        <v>8500</v>
      </c>
      <c r="G672" s="2">
        <f t="shared" si="30"/>
        <v>51000</v>
      </c>
      <c r="H672" t="str">
        <f t="shared" si="31"/>
        <v>High</v>
      </c>
      <c r="I672" t="s">
        <v>14</v>
      </c>
      <c r="L672" t="s">
        <v>12</v>
      </c>
      <c r="M672" s="3">
        <f t="shared" si="32"/>
        <v>2865050</v>
      </c>
    </row>
    <row r="673" spans="1:13" ht="15.75" x14ac:dyDescent="0.3">
      <c r="A673" s="1">
        <v>45455</v>
      </c>
      <c r="B673" t="s">
        <v>24</v>
      </c>
      <c r="C673" t="s">
        <v>13</v>
      </c>
      <c r="D673" t="s">
        <v>7</v>
      </c>
      <c r="E673">
        <v>4</v>
      </c>
      <c r="F673">
        <v>300</v>
      </c>
      <c r="G673" s="2">
        <f t="shared" si="30"/>
        <v>1200</v>
      </c>
      <c r="H673" t="str">
        <f t="shared" si="31"/>
        <v>Low</v>
      </c>
      <c r="I673" t="s">
        <v>11</v>
      </c>
      <c r="L673" t="s">
        <v>24</v>
      </c>
      <c r="M673" s="3">
        <f t="shared" si="32"/>
        <v>2514250</v>
      </c>
    </row>
    <row r="674" spans="1:13" ht="15.75" x14ac:dyDescent="0.3">
      <c r="A674" s="1">
        <v>45591</v>
      </c>
      <c r="B674" t="s">
        <v>12</v>
      </c>
      <c r="C674" t="s">
        <v>16</v>
      </c>
      <c r="D674" t="s">
        <v>18</v>
      </c>
      <c r="E674">
        <v>7</v>
      </c>
      <c r="F674">
        <v>150</v>
      </c>
      <c r="G674" s="2">
        <f t="shared" si="30"/>
        <v>1050</v>
      </c>
      <c r="H674" t="str">
        <f t="shared" si="31"/>
        <v>Low</v>
      </c>
      <c r="I674" t="s">
        <v>8</v>
      </c>
      <c r="L674" t="s">
        <v>12</v>
      </c>
      <c r="M674" s="3">
        <f t="shared" si="32"/>
        <v>2865050</v>
      </c>
    </row>
    <row r="675" spans="1:13" ht="15.75" x14ac:dyDescent="0.3">
      <c r="A675" s="1">
        <v>45400</v>
      </c>
      <c r="B675" t="s">
        <v>25</v>
      </c>
      <c r="C675" t="s">
        <v>6</v>
      </c>
      <c r="D675" t="s">
        <v>7</v>
      </c>
      <c r="E675">
        <v>9</v>
      </c>
      <c r="F675">
        <v>3200</v>
      </c>
      <c r="G675" s="2">
        <f t="shared" si="30"/>
        <v>28800</v>
      </c>
      <c r="H675" t="str">
        <f t="shared" si="31"/>
        <v>High</v>
      </c>
      <c r="I675" t="s">
        <v>11</v>
      </c>
      <c r="L675" t="s">
        <v>25</v>
      </c>
      <c r="M675" s="3">
        <f t="shared" si="32"/>
        <v>2243250</v>
      </c>
    </row>
    <row r="676" spans="1:13" ht="15.75" x14ac:dyDescent="0.3">
      <c r="A676" s="1">
        <v>45473</v>
      </c>
      <c r="B676" t="s">
        <v>12</v>
      </c>
      <c r="C676" t="s">
        <v>21</v>
      </c>
      <c r="D676" t="s">
        <v>18</v>
      </c>
      <c r="E676">
        <v>9</v>
      </c>
      <c r="F676">
        <v>150</v>
      </c>
      <c r="G676" s="2">
        <f t="shared" si="30"/>
        <v>1350</v>
      </c>
      <c r="H676" t="str">
        <f t="shared" si="31"/>
        <v>Low</v>
      </c>
      <c r="I676" t="s">
        <v>11</v>
      </c>
      <c r="L676" t="s">
        <v>12</v>
      </c>
      <c r="M676" s="3">
        <f t="shared" si="32"/>
        <v>2865050</v>
      </c>
    </row>
    <row r="677" spans="1:13" ht="15.75" x14ac:dyDescent="0.3">
      <c r="A677" s="1">
        <v>45486</v>
      </c>
      <c r="B677" t="s">
        <v>26</v>
      </c>
      <c r="C677" t="s">
        <v>21</v>
      </c>
      <c r="D677" t="s">
        <v>20</v>
      </c>
      <c r="E677">
        <v>10</v>
      </c>
      <c r="F677">
        <v>3200</v>
      </c>
      <c r="G677" s="2">
        <f t="shared" si="30"/>
        <v>32000</v>
      </c>
      <c r="H677" t="str">
        <f t="shared" si="31"/>
        <v>High</v>
      </c>
      <c r="I677" t="s">
        <v>14</v>
      </c>
      <c r="L677" t="s">
        <v>26</v>
      </c>
      <c r="M677" s="3">
        <f t="shared" si="32"/>
        <v>2430500</v>
      </c>
    </row>
    <row r="678" spans="1:13" ht="15.75" x14ac:dyDescent="0.3">
      <c r="A678" s="1">
        <v>45385</v>
      </c>
      <c r="B678" t="s">
        <v>25</v>
      </c>
      <c r="C678" t="s">
        <v>21</v>
      </c>
      <c r="D678" t="s">
        <v>17</v>
      </c>
      <c r="E678">
        <v>1</v>
      </c>
      <c r="F678">
        <v>8500</v>
      </c>
      <c r="G678" s="2">
        <f t="shared" si="30"/>
        <v>8500</v>
      </c>
      <c r="H678" t="str">
        <f t="shared" si="31"/>
        <v>Low</v>
      </c>
      <c r="I678" t="s">
        <v>11</v>
      </c>
      <c r="L678" t="s">
        <v>25</v>
      </c>
      <c r="M678" s="3">
        <f t="shared" si="32"/>
        <v>2243250</v>
      </c>
    </row>
    <row r="679" spans="1:13" ht="15.75" x14ac:dyDescent="0.3">
      <c r="A679" s="1">
        <v>45304</v>
      </c>
      <c r="B679" t="s">
        <v>19</v>
      </c>
      <c r="C679" t="s">
        <v>16</v>
      </c>
      <c r="D679" t="s">
        <v>17</v>
      </c>
      <c r="E679">
        <v>10</v>
      </c>
      <c r="F679">
        <v>4500</v>
      </c>
      <c r="G679" s="2">
        <f t="shared" si="30"/>
        <v>45000</v>
      </c>
      <c r="H679" t="str">
        <f t="shared" si="31"/>
        <v>High</v>
      </c>
      <c r="I679" t="s">
        <v>8</v>
      </c>
      <c r="L679" t="s">
        <v>19</v>
      </c>
      <c r="M679" s="3">
        <f t="shared" si="32"/>
        <v>2179300</v>
      </c>
    </row>
    <row r="680" spans="1:13" ht="15.75" x14ac:dyDescent="0.3">
      <c r="A680" s="1">
        <v>45376</v>
      </c>
      <c r="B680" t="s">
        <v>25</v>
      </c>
      <c r="C680" t="s">
        <v>13</v>
      </c>
      <c r="D680" t="s">
        <v>10</v>
      </c>
      <c r="E680">
        <v>9</v>
      </c>
      <c r="F680">
        <v>4500</v>
      </c>
      <c r="G680" s="2">
        <f t="shared" si="30"/>
        <v>40500</v>
      </c>
      <c r="H680" t="str">
        <f t="shared" si="31"/>
        <v>High</v>
      </c>
      <c r="I680" t="s">
        <v>8</v>
      </c>
      <c r="L680" t="s">
        <v>25</v>
      </c>
      <c r="M680" s="3">
        <f t="shared" si="32"/>
        <v>2243250</v>
      </c>
    </row>
    <row r="681" spans="1:13" ht="15.75" x14ac:dyDescent="0.3">
      <c r="A681" s="1">
        <v>45440</v>
      </c>
      <c r="B681" t="s">
        <v>24</v>
      </c>
      <c r="C681" t="s">
        <v>22</v>
      </c>
      <c r="D681" t="s">
        <v>17</v>
      </c>
      <c r="E681">
        <v>7</v>
      </c>
      <c r="F681">
        <v>300</v>
      </c>
      <c r="G681" s="2">
        <f t="shared" si="30"/>
        <v>2100</v>
      </c>
      <c r="H681" t="str">
        <f t="shared" si="31"/>
        <v>Low</v>
      </c>
      <c r="I681" t="s">
        <v>8</v>
      </c>
      <c r="L681" t="s">
        <v>24</v>
      </c>
      <c r="M681" s="3">
        <f t="shared" si="32"/>
        <v>2514250</v>
      </c>
    </row>
    <row r="682" spans="1:13" ht="15.75" x14ac:dyDescent="0.3">
      <c r="A682" s="1">
        <v>45561</v>
      </c>
      <c r="B682" t="s">
        <v>9</v>
      </c>
      <c r="C682" t="s">
        <v>16</v>
      </c>
      <c r="D682" t="s">
        <v>7</v>
      </c>
      <c r="E682">
        <v>2</v>
      </c>
      <c r="F682">
        <v>4500</v>
      </c>
      <c r="G682" s="2">
        <f t="shared" si="30"/>
        <v>9000</v>
      </c>
      <c r="H682" t="str">
        <f t="shared" si="31"/>
        <v>Low</v>
      </c>
      <c r="I682" t="s">
        <v>8</v>
      </c>
      <c r="L682" t="s">
        <v>9</v>
      </c>
      <c r="M682" s="3">
        <f t="shared" si="32"/>
        <v>1849750</v>
      </c>
    </row>
    <row r="683" spans="1:13" ht="15.75" x14ac:dyDescent="0.3">
      <c r="A683" s="1">
        <v>45418</v>
      </c>
      <c r="B683" t="s">
        <v>12</v>
      </c>
      <c r="C683" t="s">
        <v>22</v>
      </c>
      <c r="D683" t="s">
        <v>17</v>
      </c>
      <c r="E683">
        <v>1</v>
      </c>
      <c r="F683">
        <v>150</v>
      </c>
      <c r="G683" s="2">
        <f t="shared" si="30"/>
        <v>150</v>
      </c>
      <c r="H683" t="str">
        <f t="shared" si="31"/>
        <v>Low</v>
      </c>
      <c r="I683" t="s">
        <v>8</v>
      </c>
      <c r="L683" t="s">
        <v>12</v>
      </c>
      <c r="M683" s="3">
        <f t="shared" si="32"/>
        <v>2865050</v>
      </c>
    </row>
    <row r="684" spans="1:13" ht="15.75" x14ac:dyDescent="0.3">
      <c r="A684" s="1">
        <v>45405</v>
      </c>
      <c r="B684" t="s">
        <v>15</v>
      </c>
      <c r="C684" t="s">
        <v>6</v>
      </c>
      <c r="D684" t="s">
        <v>10</v>
      </c>
      <c r="E684">
        <v>1</v>
      </c>
      <c r="F684">
        <v>4500</v>
      </c>
      <c r="G684" s="2">
        <f t="shared" si="30"/>
        <v>4500</v>
      </c>
      <c r="H684" t="str">
        <f t="shared" si="31"/>
        <v>Low</v>
      </c>
      <c r="I684" t="s">
        <v>11</v>
      </c>
      <c r="L684" t="s">
        <v>15</v>
      </c>
      <c r="M684" s="3">
        <f t="shared" si="32"/>
        <v>2145050</v>
      </c>
    </row>
    <row r="685" spans="1:13" ht="15.75" x14ac:dyDescent="0.3">
      <c r="A685" s="1">
        <v>45602</v>
      </c>
      <c r="B685" t="s">
        <v>26</v>
      </c>
      <c r="C685" t="s">
        <v>21</v>
      </c>
      <c r="D685" t="s">
        <v>18</v>
      </c>
      <c r="E685">
        <v>6</v>
      </c>
      <c r="F685">
        <v>300</v>
      </c>
      <c r="G685" s="2">
        <f t="shared" si="30"/>
        <v>1800</v>
      </c>
      <c r="H685" t="str">
        <f t="shared" si="31"/>
        <v>Low</v>
      </c>
      <c r="I685" t="s">
        <v>11</v>
      </c>
      <c r="L685" t="s">
        <v>26</v>
      </c>
      <c r="M685" s="3">
        <f t="shared" si="32"/>
        <v>2430500</v>
      </c>
    </row>
    <row r="686" spans="1:13" ht="15.75" x14ac:dyDescent="0.3">
      <c r="A686" s="1">
        <v>45372</v>
      </c>
      <c r="B686" t="s">
        <v>12</v>
      </c>
      <c r="C686" t="s">
        <v>6</v>
      </c>
      <c r="D686" t="s">
        <v>20</v>
      </c>
      <c r="E686">
        <v>10</v>
      </c>
      <c r="F686">
        <v>3200</v>
      </c>
      <c r="G686" s="2">
        <f t="shared" si="30"/>
        <v>32000</v>
      </c>
      <c r="H686" t="str">
        <f t="shared" si="31"/>
        <v>High</v>
      </c>
      <c r="I686" t="s">
        <v>8</v>
      </c>
      <c r="L686" t="s">
        <v>12</v>
      </c>
      <c r="M686" s="3">
        <f t="shared" si="32"/>
        <v>2865050</v>
      </c>
    </row>
    <row r="687" spans="1:13" ht="15.75" x14ac:dyDescent="0.3">
      <c r="A687" s="1">
        <v>45342</v>
      </c>
      <c r="B687" t="s">
        <v>12</v>
      </c>
      <c r="C687" t="s">
        <v>16</v>
      </c>
      <c r="D687" t="s">
        <v>20</v>
      </c>
      <c r="E687">
        <v>9</v>
      </c>
      <c r="F687">
        <v>8500</v>
      </c>
      <c r="G687" s="2">
        <f t="shared" si="30"/>
        <v>76500</v>
      </c>
      <c r="H687" t="str">
        <f t="shared" si="31"/>
        <v>High</v>
      </c>
      <c r="I687" t="s">
        <v>11</v>
      </c>
      <c r="L687" t="s">
        <v>12</v>
      </c>
      <c r="M687" s="3">
        <f t="shared" si="32"/>
        <v>2865050</v>
      </c>
    </row>
    <row r="688" spans="1:13" ht="15.75" x14ac:dyDescent="0.3">
      <c r="A688" s="1">
        <v>45497</v>
      </c>
      <c r="B688" t="s">
        <v>15</v>
      </c>
      <c r="C688" t="s">
        <v>22</v>
      </c>
      <c r="D688" t="s">
        <v>17</v>
      </c>
      <c r="E688">
        <v>4</v>
      </c>
      <c r="F688">
        <v>8500</v>
      </c>
      <c r="G688" s="2">
        <f t="shared" si="30"/>
        <v>34000</v>
      </c>
      <c r="H688" t="str">
        <f t="shared" si="31"/>
        <v>High</v>
      </c>
      <c r="I688" t="s">
        <v>14</v>
      </c>
      <c r="L688" t="s">
        <v>15</v>
      </c>
      <c r="M688" s="3">
        <f t="shared" si="32"/>
        <v>2145050</v>
      </c>
    </row>
    <row r="689" spans="1:13" ht="15.75" x14ac:dyDescent="0.3">
      <c r="A689" s="1">
        <v>45341</v>
      </c>
      <c r="B689" t="s">
        <v>19</v>
      </c>
      <c r="C689" t="s">
        <v>21</v>
      </c>
      <c r="D689" t="s">
        <v>7</v>
      </c>
      <c r="E689">
        <v>6</v>
      </c>
      <c r="F689">
        <v>4500</v>
      </c>
      <c r="G689" s="2">
        <f t="shared" si="30"/>
        <v>27000</v>
      </c>
      <c r="H689" t="str">
        <f t="shared" si="31"/>
        <v>High</v>
      </c>
      <c r="I689" t="s">
        <v>14</v>
      </c>
      <c r="L689" t="s">
        <v>19</v>
      </c>
      <c r="M689" s="3">
        <f t="shared" si="32"/>
        <v>2179300</v>
      </c>
    </row>
    <row r="690" spans="1:13" ht="15.75" x14ac:dyDescent="0.3">
      <c r="A690" s="1">
        <v>45340</v>
      </c>
      <c r="B690" t="s">
        <v>12</v>
      </c>
      <c r="C690" t="s">
        <v>13</v>
      </c>
      <c r="D690" t="s">
        <v>7</v>
      </c>
      <c r="E690">
        <v>9</v>
      </c>
      <c r="F690">
        <v>150</v>
      </c>
      <c r="G690" s="2">
        <f t="shared" si="30"/>
        <v>1350</v>
      </c>
      <c r="H690" t="str">
        <f t="shared" si="31"/>
        <v>Low</v>
      </c>
      <c r="I690" t="s">
        <v>14</v>
      </c>
      <c r="L690" t="s">
        <v>12</v>
      </c>
      <c r="M690" s="3">
        <f t="shared" si="32"/>
        <v>2865050</v>
      </c>
    </row>
    <row r="691" spans="1:13" ht="15.75" x14ac:dyDescent="0.3">
      <c r="A691" s="1">
        <v>45406</v>
      </c>
      <c r="B691" t="s">
        <v>24</v>
      </c>
      <c r="C691" t="s">
        <v>6</v>
      </c>
      <c r="D691" t="s">
        <v>20</v>
      </c>
      <c r="E691">
        <v>8</v>
      </c>
      <c r="F691">
        <v>150</v>
      </c>
      <c r="G691" s="2">
        <f t="shared" si="30"/>
        <v>1200</v>
      </c>
      <c r="H691" t="str">
        <f t="shared" si="31"/>
        <v>Low</v>
      </c>
      <c r="I691" t="s">
        <v>11</v>
      </c>
      <c r="L691" t="s">
        <v>24</v>
      </c>
      <c r="M691" s="3">
        <f t="shared" si="32"/>
        <v>2514250</v>
      </c>
    </row>
    <row r="692" spans="1:13" ht="15.75" x14ac:dyDescent="0.3">
      <c r="A692" s="1">
        <v>45428</v>
      </c>
      <c r="B692" t="s">
        <v>15</v>
      </c>
      <c r="C692" t="s">
        <v>22</v>
      </c>
      <c r="D692" t="s">
        <v>20</v>
      </c>
      <c r="E692">
        <v>5</v>
      </c>
      <c r="F692">
        <v>8500</v>
      </c>
      <c r="G692" s="2">
        <f t="shared" si="30"/>
        <v>42500</v>
      </c>
      <c r="H692" t="str">
        <f t="shared" si="31"/>
        <v>High</v>
      </c>
      <c r="I692" t="s">
        <v>14</v>
      </c>
      <c r="L692" t="s">
        <v>15</v>
      </c>
      <c r="M692" s="3">
        <f t="shared" si="32"/>
        <v>2145050</v>
      </c>
    </row>
    <row r="693" spans="1:13" ht="15.75" x14ac:dyDescent="0.3">
      <c r="A693" s="1">
        <v>45487</v>
      </c>
      <c r="B693" t="s">
        <v>23</v>
      </c>
      <c r="C693" t="s">
        <v>13</v>
      </c>
      <c r="D693" t="s">
        <v>18</v>
      </c>
      <c r="E693">
        <v>6</v>
      </c>
      <c r="F693">
        <v>8500</v>
      </c>
      <c r="G693" s="2">
        <f t="shared" si="30"/>
        <v>51000</v>
      </c>
      <c r="H693" t="str">
        <f t="shared" si="31"/>
        <v>High</v>
      </c>
      <c r="I693" t="s">
        <v>8</v>
      </c>
      <c r="L693" t="s">
        <v>23</v>
      </c>
      <c r="M693" s="3">
        <f t="shared" si="32"/>
        <v>2202100</v>
      </c>
    </row>
    <row r="694" spans="1:13" ht="15.75" x14ac:dyDescent="0.3">
      <c r="A694" s="1">
        <v>45479</v>
      </c>
      <c r="B694" t="s">
        <v>12</v>
      </c>
      <c r="C694" t="s">
        <v>13</v>
      </c>
      <c r="D694" t="s">
        <v>7</v>
      </c>
      <c r="E694">
        <v>6</v>
      </c>
      <c r="F694">
        <v>3200</v>
      </c>
      <c r="G694" s="2">
        <f t="shared" si="30"/>
        <v>19200</v>
      </c>
      <c r="H694" t="str">
        <f t="shared" si="31"/>
        <v>High</v>
      </c>
      <c r="I694" t="s">
        <v>8</v>
      </c>
      <c r="L694" t="s">
        <v>12</v>
      </c>
      <c r="M694" s="3">
        <f t="shared" si="32"/>
        <v>2865050</v>
      </c>
    </row>
    <row r="695" spans="1:13" ht="15.75" x14ac:dyDescent="0.3">
      <c r="A695" s="1">
        <v>45501</v>
      </c>
      <c r="B695" t="s">
        <v>25</v>
      </c>
      <c r="C695" t="s">
        <v>22</v>
      </c>
      <c r="D695" t="s">
        <v>7</v>
      </c>
      <c r="E695">
        <v>9</v>
      </c>
      <c r="F695">
        <v>150</v>
      </c>
      <c r="G695" s="2">
        <f t="shared" si="30"/>
        <v>1350</v>
      </c>
      <c r="H695" t="str">
        <f t="shared" si="31"/>
        <v>Low</v>
      </c>
      <c r="I695" t="s">
        <v>11</v>
      </c>
      <c r="L695" t="s">
        <v>25</v>
      </c>
      <c r="M695" s="3">
        <f t="shared" si="32"/>
        <v>2243250</v>
      </c>
    </row>
    <row r="696" spans="1:13" ht="15.75" x14ac:dyDescent="0.3">
      <c r="A696" s="1">
        <v>45397</v>
      </c>
      <c r="B696" t="s">
        <v>9</v>
      </c>
      <c r="C696" t="s">
        <v>22</v>
      </c>
      <c r="D696" t="s">
        <v>10</v>
      </c>
      <c r="E696">
        <v>10</v>
      </c>
      <c r="F696">
        <v>150</v>
      </c>
      <c r="G696" s="2">
        <f t="shared" si="30"/>
        <v>1500</v>
      </c>
      <c r="H696" t="str">
        <f t="shared" si="31"/>
        <v>Low</v>
      </c>
      <c r="I696" t="s">
        <v>8</v>
      </c>
      <c r="L696" t="s">
        <v>9</v>
      </c>
      <c r="M696" s="3">
        <f t="shared" si="32"/>
        <v>1849750</v>
      </c>
    </row>
    <row r="697" spans="1:13" ht="15.75" x14ac:dyDescent="0.3">
      <c r="A697" s="1">
        <v>45312</v>
      </c>
      <c r="B697" t="s">
        <v>15</v>
      </c>
      <c r="C697" t="s">
        <v>16</v>
      </c>
      <c r="D697" t="s">
        <v>17</v>
      </c>
      <c r="E697">
        <v>7</v>
      </c>
      <c r="F697">
        <v>300</v>
      </c>
      <c r="G697" s="2">
        <f t="shared" si="30"/>
        <v>2100</v>
      </c>
      <c r="H697" t="str">
        <f t="shared" si="31"/>
        <v>Low</v>
      </c>
      <c r="I697" t="s">
        <v>8</v>
      </c>
      <c r="L697" t="s">
        <v>15</v>
      </c>
      <c r="M697" s="3">
        <f t="shared" si="32"/>
        <v>2145050</v>
      </c>
    </row>
    <row r="698" spans="1:13" ht="15.75" x14ac:dyDescent="0.3">
      <c r="A698" s="1">
        <v>45509</v>
      </c>
      <c r="B698" t="s">
        <v>12</v>
      </c>
      <c r="C698" t="s">
        <v>6</v>
      </c>
      <c r="D698" t="s">
        <v>7</v>
      </c>
      <c r="E698">
        <v>9</v>
      </c>
      <c r="F698">
        <v>4500</v>
      </c>
      <c r="G698" s="2">
        <f t="shared" si="30"/>
        <v>40500</v>
      </c>
      <c r="H698" t="str">
        <f t="shared" si="31"/>
        <v>High</v>
      </c>
      <c r="I698" t="s">
        <v>8</v>
      </c>
      <c r="L698" t="s">
        <v>12</v>
      </c>
      <c r="M698" s="3">
        <f t="shared" si="32"/>
        <v>2865050</v>
      </c>
    </row>
    <row r="699" spans="1:13" ht="15.75" x14ac:dyDescent="0.3">
      <c r="A699" s="1">
        <v>45353</v>
      </c>
      <c r="B699" t="s">
        <v>25</v>
      </c>
      <c r="C699" t="s">
        <v>6</v>
      </c>
      <c r="D699" t="s">
        <v>10</v>
      </c>
      <c r="E699">
        <v>5</v>
      </c>
      <c r="F699">
        <v>150</v>
      </c>
      <c r="G699" s="2">
        <f t="shared" si="30"/>
        <v>750</v>
      </c>
      <c r="H699" t="str">
        <f t="shared" si="31"/>
        <v>Low</v>
      </c>
      <c r="I699" t="s">
        <v>8</v>
      </c>
      <c r="L699" t="s">
        <v>25</v>
      </c>
      <c r="M699" s="3">
        <f t="shared" si="32"/>
        <v>2243250</v>
      </c>
    </row>
    <row r="700" spans="1:13" ht="15.75" x14ac:dyDescent="0.3">
      <c r="A700" s="1">
        <v>45552</v>
      </c>
      <c r="B700" t="s">
        <v>23</v>
      </c>
      <c r="C700" t="s">
        <v>6</v>
      </c>
      <c r="D700" t="s">
        <v>10</v>
      </c>
      <c r="E700">
        <v>4</v>
      </c>
      <c r="F700">
        <v>300</v>
      </c>
      <c r="G700" s="2">
        <f t="shared" si="30"/>
        <v>1200</v>
      </c>
      <c r="H700" t="str">
        <f t="shared" si="31"/>
        <v>Low</v>
      </c>
      <c r="I700" t="s">
        <v>14</v>
      </c>
      <c r="L700" t="s">
        <v>23</v>
      </c>
      <c r="M700" s="3">
        <f t="shared" si="32"/>
        <v>2202100</v>
      </c>
    </row>
    <row r="701" spans="1:13" ht="15.75" x14ac:dyDescent="0.3">
      <c r="A701" s="1">
        <v>45628</v>
      </c>
      <c r="B701" t="s">
        <v>9</v>
      </c>
      <c r="C701" t="s">
        <v>16</v>
      </c>
      <c r="D701" t="s">
        <v>10</v>
      </c>
      <c r="E701">
        <v>7</v>
      </c>
      <c r="F701">
        <v>300</v>
      </c>
      <c r="G701" s="2">
        <f t="shared" si="30"/>
        <v>2100</v>
      </c>
      <c r="H701" t="str">
        <f t="shared" si="31"/>
        <v>Low</v>
      </c>
      <c r="I701" t="s">
        <v>8</v>
      </c>
      <c r="L701" t="s">
        <v>9</v>
      </c>
      <c r="M701" s="3">
        <f t="shared" si="32"/>
        <v>1849750</v>
      </c>
    </row>
    <row r="702" spans="1:13" ht="15.75" x14ac:dyDescent="0.3">
      <c r="A702" s="1">
        <v>45551</v>
      </c>
      <c r="B702" t="s">
        <v>24</v>
      </c>
      <c r="C702" t="s">
        <v>16</v>
      </c>
      <c r="D702" t="s">
        <v>18</v>
      </c>
      <c r="E702">
        <v>3</v>
      </c>
      <c r="F702">
        <v>300</v>
      </c>
      <c r="G702" s="2">
        <f t="shared" si="30"/>
        <v>900</v>
      </c>
      <c r="H702" t="str">
        <f t="shared" si="31"/>
        <v>Low</v>
      </c>
      <c r="I702" t="s">
        <v>14</v>
      </c>
      <c r="L702" t="s">
        <v>24</v>
      </c>
      <c r="M702" s="3">
        <f t="shared" si="32"/>
        <v>2514250</v>
      </c>
    </row>
    <row r="703" spans="1:13" ht="15.75" x14ac:dyDescent="0.3">
      <c r="A703" s="1">
        <v>45493</v>
      </c>
      <c r="B703" t="s">
        <v>23</v>
      </c>
      <c r="C703" t="s">
        <v>13</v>
      </c>
      <c r="D703" t="s">
        <v>7</v>
      </c>
      <c r="E703">
        <v>1</v>
      </c>
      <c r="F703">
        <v>3200</v>
      </c>
      <c r="G703" s="2">
        <f t="shared" si="30"/>
        <v>3200</v>
      </c>
      <c r="H703" t="str">
        <f t="shared" si="31"/>
        <v>Low</v>
      </c>
      <c r="I703" t="s">
        <v>11</v>
      </c>
      <c r="L703" t="s">
        <v>23</v>
      </c>
      <c r="M703" s="3">
        <f t="shared" si="32"/>
        <v>2202100</v>
      </c>
    </row>
    <row r="704" spans="1:13" ht="15.75" x14ac:dyDescent="0.3">
      <c r="A704" s="1">
        <v>45539</v>
      </c>
      <c r="B704" t="s">
        <v>24</v>
      </c>
      <c r="C704" t="s">
        <v>6</v>
      </c>
      <c r="D704" t="s">
        <v>10</v>
      </c>
      <c r="E704">
        <v>9</v>
      </c>
      <c r="F704">
        <v>150</v>
      </c>
      <c r="G704" s="2">
        <f t="shared" si="30"/>
        <v>1350</v>
      </c>
      <c r="H704" t="str">
        <f t="shared" si="31"/>
        <v>Low</v>
      </c>
      <c r="I704" t="s">
        <v>8</v>
      </c>
      <c r="L704" t="s">
        <v>24</v>
      </c>
      <c r="M704" s="3">
        <f t="shared" si="32"/>
        <v>2514250</v>
      </c>
    </row>
    <row r="705" spans="1:13" ht="15.75" x14ac:dyDescent="0.3">
      <c r="A705" s="1">
        <v>45317</v>
      </c>
      <c r="B705" t="s">
        <v>15</v>
      </c>
      <c r="C705" t="s">
        <v>6</v>
      </c>
      <c r="D705" t="s">
        <v>10</v>
      </c>
      <c r="E705">
        <v>3</v>
      </c>
      <c r="F705">
        <v>300</v>
      </c>
      <c r="G705" s="2">
        <f t="shared" si="30"/>
        <v>900</v>
      </c>
      <c r="H705" t="str">
        <f t="shared" si="31"/>
        <v>Low</v>
      </c>
      <c r="I705" t="s">
        <v>8</v>
      </c>
      <c r="L705" t="s">
        <v>15</v>
      </c>
      <c r="M705" s="3">
        <f t="shared" si="32"/>
        <v>2145050</v>
      </c>
    </row>
    <row r="706" spans="1:13" ht="15.75" x14ac:dyDescent="0.3">
      <c r="A706" s="1">
        <v>45365</v>
      </c>
      <c r="B706" t="s">
        <v>12</v>
      </c>
      <c r="C706" t="s">
        <v>21</v>
      </c>
      <c r="D706" t="s">
        <v>18</v>
      </c>
      <c r="E706">
        <v>7</v>
      </c>
      <c r="F706">
        <v>300</v>
      </c>
      <c r="G706" s="2">
        <f t="shared" si="30"/>
        <v>2100</v>
      </c>
      <c r="H706" t="str">
        <f t="shared" si="31"/>
        <v>Low</v>
      </c>
      <c r="I706" t="s">
        <v>11</v>
      </c>
      <c r="L706" t="s">
        <v>12</v>
      </c>
      <c r="M706" s="3">
        <f t="shared" si="32"/>
        <v>2865050</v>
      </c>
    </row>
    <row r="707" spans="1:13" ht="15.75" x14ac:dyDescent="0.3">
      <c r="A707" s="1">
        <v>45354</v>
      </c>
      <c r="B707" t="s">
        <v>26</v>
      </c>
      <c r="C707" t="s">
        <v>13</v>
      </c>
      <c r="D707" t="s">
        <v>20</v>
      </c>
      <c r="E707">
        <v>6</v>
      </c>
      <c r="F707">
        <v>3200</v>
      </c>
      <c r="G707" s="2">
        <f t="shared" ref="G707:G770" si="33">E707*F707</f>
        <v>19200</v>
      </c>
      <c r="H707" t="str">
        <f t="shared" ref="H707:H770" si="34">IF(G707&gt;=10000,"High","Low")</f>
        <v>High</v>
      </c>
      <c r="I707" t="s">
        <v>8</v>
      </c>
      <c r="L707" t="s">
        <v>26</v>
      </c>
      <c r="M707" s="3">
        <f t="shared" ref="M707:M770" si="35">SUMIF(B:B,L707,G:G)</f>
        <v>2430500</v>
      </c>
    </row>
    <row r="708" spans="1:13" ht="15.75" x14ac:dyDescent="0.3">
      <c r="A708" s="1">
        <v>45634</v>
      </c>
      <c r="B708" t="s">
        <v>25</v>
      </c>
      <c r="C708" t="s">
        <v>22</v>
      </c>
      <c r="D708" t="s">
        <v>17</v>
      </c>
      <c r="E708">
        <v>4</v>
      </c>
      <c r="F708">
        <v>8500</v>
      </c>
      <c r="G708" s="2">
        <f t="shared" si="33"/>
        <v>34000</v>
      </c>
      <c r="H708" t="str">
        <f t="shared" si="34"/>
        <v>High</v>
      </c>
      <c r="I708" t="s">
        <v>8</v>
      </c>
      <c r="L708" t="s">
        <v>25</v>
      </c>
      <c r="M708" s="3">
        <f t="shared" si="35"/>
        <v>2243250</v>
      </c>
    </row>
    <row r="709" spans="1:13" ht="15.75" x14ac:dyDescent="0.3">
      <c r="A709" s="1">
        <v>45375</v>
      </c>
      <c r="B709" t="s">
        <v>25</v>
      </c>
      <c r="C709" t="s">
        <v>21</v>
      </c>
      <c r="D709" t="s">
        <v>7</v>
      </c>
      <c r="E709">
        <v>2</v>
      </c>
      <c r="F709">
        <v>4500</v>
      </c>
      <c r="G709" s="2">
        <f t="shared" si="33"/>
        <v>9000</v>
      </c>
      <c r="H709" t="str">
        <f t="shared" si="34"/>
        <v>Low</v>
      </c>
      <c r="I709" t="s">
        <v>8</v>
      </c>
      <c r="L709" t="s">
        <v>25</v>
      </c>
      <c r="M709" s="3">
        <f t="shared" si="35"/>
        <v>2243250</v>
      </c>
    </row>
    <row r="710" spans="1:13" ht="15.75" x14ac:dyDescent="0.3">
      <c r="A710" s="1">
        <v>45322</v>
      </c>
      <c r="B710" t="s">
        <v>9</v>
      </c>
      <c r="C710" t="s">
        <v>13</v>
      </c>
      <c r="D710" t="s">
        <v>18</v>
      </c>
      <c r="E710">
        <v>6</v>
      </c>
      <c r="F710">
        <v>150</v>
      </c>
      <c r="G710" s="2">
        <f t="shared" si="33"/>
        <v>900</v>
      </c>
      <c r="H710" t="str">
        <f t="shared" si="34"/>
        <v>Low</v>
      </c>
      <c r="I710" t="s">
        <v>8</v>
      </c>
      <c r="L710" t="s">
        <v>9</v>
      </c>
      <c r="M710" s="3">
        <f t="shared" si="35"/>
        <v>1849750</v>
      </c>
    </row>
    <row r="711" spans="1:13" ht="15.75" x14ac:dyDescent="0.3">
      <c r="A711" s="1">
        <v>45468</v>
      </c>
      <c r="B711" t="s">
        <v>19</v>
      </c>
      <c r="C711" t="s">
        <v>21</v>
      </c>
      <c r="D711" t="s">
        <v>17</v>
      </c>
      <c r="E711">
        <v>10</v>
      </c>
      <c r="F711">
        <v>3200</v>
      </c>
      <c r="G711" s="2">
        <f t="shared" si="33"/>
        <v>32000</v>
      </c>
      <c r="H711" t="str">
        <f t="shared" si="34"/>
        <v>High</v>
      </c>
      <c r="I711" t="s">
        <v>11</v>
      </c>
      <c r="L711" t="s">
        <v>19</v>
      </c>
      <c r="M711" s="3">
        <f t="shared" si="35"/>
        <v>2179300</v>
      </c>
    </row>
    <row r="712" spans="1:13" ht="15.75" x14ac:dyDescent="0.3">
      <c r="A712" s="1">
        <v>45293</v>
      </c>
      <c r="B712" t="s">
        <v>25</v>
      </c>
      <c r="C712" t="s">
        <v>13</v>
      </c>
      <c r="D712" t="s">
        <v>20</v>
      </c>
      <c r="E712">
        <v>2</v>
      </c>
      <c r="F712">
        <v>4500</v>
      </c>
      <c r="G712" s="2">
        <f t="shared" si="33"/>
        <v>9000</v>
      </c>
      <c r="H712" t="str">
        <f t="shared" si="34"/>
        <v>Low</v>
      </c>
      <c r="I712" t="s">
        <v>11</v>
      </c>
      <c r="L712" t="s">
        <v>25</v>
      </c>
      <c r="M712" s="3">
        <f t="shared" si="35"/>
        <v>2243250</v>
      </c>
    </row>
    <row r="713" spans="1:13" ht="15.75" x14ac:dyDescent="0.3">
      <c r="A713" s="1">
        <v>45520</v>
      </c>
      <c r="B713" t="s">
        <v>26</v>
      </c>
      <c r="C713" t="s">
        <v>16</v>
      </c>
      <c r="D713" t="s">
        <v>20</v>
      </c>
      <c r="E713">
        <v>3</v>
      </c>
      <c r="F713">
        <v>8500</v>
      </c>
      <c r="G713" s="2">
        <f t="shared" si="33"/>
        <v>25500</v>
      </c>
      <c r="H713" t="str">
        <f t="shared" si="34"/>
        <v>High</v>
      </c>
      <c r="I713" t="s">
        <v>8</v>
      </c>
      <c r="L713" t="s">
        <v>26</v>
      </c>
      <c r="M713" s="3">
        <f t="shared" si="35"/>
        <v>2430500</v>
      </c>
    </row>
    <row r="714" spans="1:13" ht="15.75" x14ac:dyDescent="0.3">
      <c r="A714" s="1">
        <v>45589</v>
      </c>
      <c r="B714" t="s">
        <v>23</v>
      </c>
      <c r="C714" t="s">
        <v>22</v>
      </c>
      <c r="D714" t="s">
        <v>10</v>
      </c>
      <c r="E714">
        <v>6</v>
      </c>
      <c r="F714">
        <v>8500</v>
      </c>
      <c r="G714" s="2">
        <f t="shared" si="33"/>
        <v>51000</v>
      </c>
      <c r="H714" t="str">
        <f t="shared" si="34"/>
        <v>High</v>
      </c>
      <c r="I714" t="s">
        <v>11</v>
      </c>
      <c r="L714" t="s">
        <v>23</v>
      </c>
      <c r="M714" s="3">
        <f t="shared" si="35"/>
        <v>2202100</v>
      </c>
    </row>
    <row r="715" spans="1:13" ht="15.75" x14ac:dyDescent="0.3">
      <c r="A715" s="1">
        <v>45535</v>
      </c>
      <c r="B715" t="s">
        <v>12</v>
      </c>
      <c r="C715" t="s">
        <v>16</v>
      </c>
      <c r="D715" t="s">
        <v>20</v>
      </c>
      <c r="E715">
        <v>3</v>
      </c>
      <c r="F715">
        <v>300</v>
      </c>
      <c r="G715" s="2">
        <f t="shared" si="33"/>
        <v>900</v>
      </c>
      <c r="H715" t="str">
        <f t="shared" si="34"/>
        <v>Low</v>
      </c>
      <c r="I715" t="s">
        <v>11</v>
      </c>
      <c r="L715" t="s">
        <v>12</v>
      </c>
      <c r="M715" s="3">
        <f t="shared" si="35"/>
        <v>2865050</v>
      </c>
    </row>
    <row r="716" spans="1:13" ht="15.75" x14ac:dyDescent="0.3">
      <c r="A716" s="1">
        <v>45429</v>
      </c>
      <c r="B716" t="s">
        <v>25</v>
      </c>
      <c r="C716" t="s">
        <v>22</v>
      </c>
      <c r="D716" t="s">
        <v>7</v>
      </c>
      <c r="E716">
        <v>9</v>
      </c>
      <c r="F716">
        <v>8500</v>
      </c>
      <c r="G716" s="2">
        <f t="shared" si="33"/>
        <v>76500</v>
      </c>
      <c r="H716" t="str">
        <f t="shared" si="34"/>
        <v>High</v>
      </c>
      <c r="I716" t="s">
        <v>8</v>
      </c>
      <c r="L716" t="s">
        <v>25</v>
      </c>
      <c r="M716" s="3">
        <f t="shared" si="35"/>
        <v>2243250</v>
      </c>
    </row>
    <row r="717" spans="1:13" ht="15.75" x14ac:dyDescent="0.3">
      <c r="A717" s="1">
        <v>45446</v>
      </c>
      <c r="B717" t="s">
        <v>23</v>
      </c>
      <c r="C717" t="s">
        <v>21</v>
      </c>
      <c r="D717" t="s">
        <v>7</v>
      </c>
      <c r="E717">
        <v>10</v>
      </c>
      <c r="F717">
        <v>150</v>
      </c>
      <c r="G717" s="2">
        <f t="shared" si="33"/>
        <v>1500</v>
      </c>
      <c r="H717" t="str">
        <f t="shared" si="34"/>
        <v>Low</v>
      </c>
      <c r="I717" t="s">
        <v>14</v>
      </c>
      <c r="L717" t="s">
        <v>23</v>
      </c>
      <c r="M717" s="3">
        <f t="shared" si="35"/>
        <v>2202100</v>
      </c>
    </row>
    <row r="718" spans="1:13" ht="15.75" x14ac:dyDescent="0.3">
      <c r="A718" s="1">
        <v>45576</v>
      </c>
      <c r="B718" t="s">
        <v>9</v>
      </c>
      <c r="C718" t="s">
        <v>22</v>
      </c>
      <c r="D718" t="s">
        <v>17</v>
      </c>
      <c r="E718">
        <v>3</v>
      </c>
      <c r="F718">
        <v>150</v>
      </c>
      <c r="G718" s="2">
        <f t="shared" si="33"/>
        <v>450</v>
      </c>
      <c r="H718" t="str">
        <f t="shared" si="34"/>
        <v>Low</v>
      </c>
      <c r="I718" t="s">
        <v>8</v>
      </c>
      <c r="L718" t="s">
        <v>9</v>
      </c>
      <c r="M718" s="3">
        <f t="shared" si="35"/>
        <v>1849750</v>
      </c>
    </row>
    <row r="719" spans="1:13" ht="15.75" x14ac:dyDescent="0.3">
      <c r="A719" s="1">
        <v>45607</v>
      </c>
      <c r="B719" t="s">
        <v>24</v>
      </c>
      <c r="C719" t="s">
        <v>22</v>
      </c>
      <c r="D719" t="s">
        <v>17</v>
      </c>
      <c r="E719">
        <v>3</v>
      </c>
      <c r="F719">
        <v>4500</v>
      </c>
      <c r="G719" s="2">
        <f t="shared" si="33"/>
        <v>13500</v>
      </c>
      <c r="H719" t="str">
        <f t="shared" si="34"/>
        <v>High</v>
      </c>
      <c r="I719" t="s">
        <v>14</v>
      </c>
      <c r="L719" t="s">
        <v>24</v>
      </c>
      <c r="M719" s="3">
        <f t="shared" si="35"/>
        <v>2514250</v>
      </c>
    </row>
    <row r="720" spans="1:13" ht="15.75" x14ac:dyDescent="0.3">
      <c r="A720" s="1">
        <v>45538</v>
      </c>
      <c r="B720" t="s">
        <v>25</v>
      </c>
      <c r="C720" t="s">
        <v>13</v>
      </c>
      <c r="D720" t="s">
        <v>10</v>
      </c>
      <c r="E720">
        <v>3</v>
      </c>
      <c r="F720">
        <v>4500</v>
      </c>
      <c r="G720" s="2">
        <f t="shared" si="33"/>
        <v>13500</v>
      </c>
      <c r="H720" t="str">
        <f t="shared" si="34"/>
        <v>High</v>
      </c>
      <c r="I720" t="s">
        <v>14</v>
      </c>
      <c r="L720" t="s">
        <v>25</v>
      </c>
      <c r="M720" s="3">
        <f t="shared" si="35"/>
        <v>2243250</v>
      </c>
    </row>
    <row r="721" spans="1:13" ht="15.75" x14ac:dyDescent="0.3">
      <c r="A721" s="1">
        <v>45495</v>
      </c>
      <c r="B721" t="s">
        <v>9</v>
      </c>
      <c r="C721" t="s">
        <v>13</v>
      </c>
      <c r="D721" t="s">
        <v>7</v>
      </c>
      <c r="E721">
        <v>1</v>
      </c>
      <c r="F721">
        <v>300</v>
      </c>
      <c r="G721" s="2">
        <f t="shared" si="33"/>
        <v>300</v>
      </c>
      <c r="H721" t="str">
        <f t="shared" si="34"/>
        <v>Low</v>
      </c>
      <c r="I721" t="s">
        <v>8</v>
      </c>
      <c r="L721" t="s">
        <v>9</v>
      </c>
      <c r="M721" s="3">
        <f t="shared" si="35"/>
        <v>1849750</v>
      </c>
    </row>
    <row r="722" spans="1:13" ht="15.75" x14ac:dyDescent="0.3">
      <c r="A722" s="1">
        <v>45442</v>
      </c>
      <c r="B722" t="s">
        <v>15</v>
      </c>
      <c r="C722" t="s">
        <v>22</v>
      </c>
      <c r="D722" t="s">
        <v>7</v>
      </c>
      <c r="E722">
        <v>8</v>
      </c>
      <c r="F722">
        <v>150</v>
      </c>
      <c r="G722" s="2">
        <f t="shared" si="33"/>
        <v>1200</v>
      </c>
      <c r="H722" t="str">
        <f t="shared" si="34"/>
        <v>Low</v>
      </c>
      <c r="I722" t="s">
        <v>11</v>
      </c>
      <c r="L722" t="s">
        <v>15</v>
      </c>
      <c r="M722" s="3">
        <f t="shared" si="35"/>
        <v>2145050</v>
      </c>
    </row>
    <row r="723" spans="1:13" ht="15.75" x14ac:dyDescent="0.3">
      <c r="A723" s="1">
        <v>45511</v>
      </c>
      <c r="B723" t="s">
        <v>12</v>
      </c>
      <c r="C723" t="s">
        <v>6</v>
      </c>
      <c r="D723" t="s">
        <v>18</v>
      </c>
      <c r="E723">
        <v>10</v>
      </c>
      <c r="F723">
        <v>150</v>
      </c>
      <c r="G723" s="2">
        <f t="shared" si="33"/>
        <v>1500</v>
      </c>
      <c r="H723" t="str">
        <f t="shared" si="34"/>
        <v>Low</v>
      </c>
      <c r="I723" t="s">
        <v>14</v>
      </c>
      <c r="L723" t="s">
        <v>12</v>
      </c>
      <c r="M723" s="3">
        <f t="shared" si="35"/>
        <v>2865050</v>
      </c>
    </row>
    <row r="724" spans="1:13" ht="15.75" x14ac:dyDescent="0.3">
      <c r="A724" s="1">
        <v>45439</v>
      </c>
      <c r="B724" t="s">
        <v>26</v>
      </c>
      <c r="C724" t="s">
        <v>21</v>
      </c>
      <c r="D724" t="s">
        <v>20</v>
      </c>
      <c r="E724">
        <v>5</v>
      </c>
      <c r="F724">
        <v>3200</v>
      </c>
      <c r="G724" s="2">
        <f t="shared" si="33"/>
        <v>16000</v>
      </c>
      <c r="H724" t="str">
        <f t="shared" si="34"/>
        <v>High</v>
      </c>
      <c r="I724" t="s">
        <v>14</v>
      </c>
      <c r="L724" t="s">
        <v>26</v>
      </c>
      <c r="M724" s="3">
        <f t="shared" si="35"/>
        <v>2430500</v>
      </c>
    </row>
    <row r="725" spans="1:13" ht="15.75" x14ac:dyDescent="0.3">
      <c r="A725" s="1">
        <v>45621</v>
      </c>
      <c r="B725" t="s">
        <v>12</v>
      </c>
      <c r="C725" t="s">
        <v>6</v>
      </c>
      <c r="D725" t="s">
        <v>10</v>
      </c>
      <c r="E725">
        <v>8</v>
      </c>
      <c r="F725">
        <v>8500</v>
      </c>
      <c r="G725" s="2">
        <f t="shared" si="33"/>
        <v>68000</v>
      </c>
      <c r="H725" t="str">
        <f t="shared" si="34"/>
        <v>High</v>
      </c>
      <c r="I725" t="s">
        <v>8</v>
      </c>
      <c r="L725" t="s">
        <v>12</v>
      </c>
      <c r="M725" s="3">
        <f t="shared" si="35"/>
        <v>2865050</v>
      </c>
    </row>
    <row r="726" spans="1:13" ht="15.75" x14ac:dyDescent="0.3">
      <c r="A726" s="1">
        <v>45530</v>
      </c>
      <c r="B726" t="s">
        <v>26</v>
      </c>
      <c r="C726" t="s">
        <v>22</v>
      </c>
      <c r="D726" t="s">
        <v>18</v>
      </c>
      <c r="E726">
        <v>3</v>
      </c>
      <c r="F726">
        <v>300</v>
      </c>
      <c r="G726" s="2">
        <f t="shared" si="33"/>
        <v>900</v>
      </c>
      <c r="H726" t="str">
        <f t="shared" si="34"/>
        <v>Low</v>
      </c>
      <c r="I726" t="s">
        <v>8</v>
      </c>
      <c r="L726" t="s">
        <v>26</v>
      </c>
      <c r="M726" s="3">
        <f t="shared" si="35"/>
        <v>2430500</v>
      </c>
    </row>
    <row r="727" spans="1:13" ht="15.75" x14ac:dyDescent="0.3">
      <c r="A727" s="1">
        <v>45413</v>
      </c>
      <c r="B727" t="s">
        <v>25</v>
      </c>
      <c r="C727" t="s">
        <v>6</v>
      </c>
      <c r="D727" t="s">
        <v>17</v>
      </c>
      <c r="E727">
        <v>7</v>
      </c>
      <c r="F727">
        <v>3200</v>
      </c>
      <c r="G727" s="2">
        <f t="shared" si="33"/>
        <v>22400</v>
      </c>
      <c r="H727" t="str">
        <f t="shared" si="34"/>
        <v>High</v>
      </c>
      <c r="I727" t="s">
        <v>8</v>
      </c>
      <c r="L727" t="s">
        <v>25</v>
      </c>
      <c r="M727" s="3">
        <f t="shared" si="35"/>
        <v>2243250</v>
      </c>
    </row>
    <row r="728" spans="1:13" ht="15.75" x14ac:dyDescent="0.3">
      <c r="A728" s="1">
        <v>45370</v>
      </c>
      <c r="B728" t="s">
        <v>23</v>
      </c>
      <c r="C728" t="s">
        <v>13</v>
      </c>
      <c r="D728" t="s">
        <v>10</v>
      </c>
      <c r="E728">
        <v>1</v>
      </c>
      <c r="F728">
        <v>4500</v>
      </c>
      <c r="G728" s="2">
        <f t="shared" si="33"/>
        <v>4500</v>
      </c>
      <c r="H728" t="str">
        <f t="shared" si="34"/>
        <v>Low</v>
      </c>
      <c r="I728" t="s">
        <v>8</v>
      </c>
      <c r="L728" t="s">
        <v>23</v>
      </c>
      <c r="M728" s="3">
        <f t="shared" si="35"/>
        <v>2202100</v>
      </c>
    </row>
    <row r="729" spans="1:13" ht="15.75" x14ac:dyDescent="0.3">
      <c r="A729" s="1">
        <v>45600</v>
      </c>
      <c r="B729" t="s">
        <v>9</v>
      </c>
      <c r="C729" t="s">
        <v>16</v>
      </c>
      <c r="D729" t="s">
        <v>10</v>
      </c>
      <c r="E729">
        <v>9</v>
      </c>
      <c r="F729">
        <v>300</v>
      </c>
      <c r="G729" s="2">
        <f t="shared" si="33"/>
        <v>2700</v>
      </c>
      <c r="H729" t="str">
        <f t="shared" si="34"/>
        <v>Low</v>
      </c>
      <c r="I729" t="s">
        <v>14</v>
      </c>
      <c r="L729" t="s">
        <v>9</v>
      </c>
      <c r="M729" s="3">
        <f t="shared" si="35"/>
        <v>1849750</v>
      </c>
    </row>
    <row r="730" spans="1:13" ht="15.75" x14ac:dyDescent="0.3">
      <c r="A730" s="1">
        <v>45383</v>
      </c>
      <c r="B730" t="s">
        <v>19</v>
      </c>
      <c r="C730" t="s">
        <v>13</v>
      </c>
      <c r="D730" t="s">
        <v>20</v>
      </c>
      <c r="E730">
        <v>1</v>
      </c>
      <c r="F730">
        <v>300</v>
      </c>
      <c r="G730" s="2">
        <f t="shared" si="33"/>
        <v>300</v>
      </c>
      <c r="H730" t="str">
        <f t="shared" si="34"/>
        <v>Low</v>
      </c>
      <c r="I730" t="s">
        <v>11</v>
      </c>
      <c r="L730" t="s">
        <v>19</v>
      </c>
      <c r="M730" s="3">
        <f t="shared" si="35"/>
        <v>2179300</v>
      </c>
    </row>
    <row r="731" spans="1:13" ht="15.75" x14ac:dyDescent="0.3">
      <c r="A731" s="1">
        <v>45533</v>
      </c>
      <c r="B731" t="s">
        <v>19</v>
      </c>
      <c r="C731" t="s">
        <v>16</v>
      </c>
      <c r="D731" t="s">
        <v>20</v>
      </c>
      <c r="E731">
        <v>6</v>
      </c>
      <c r="F731">
        <v>8500</v>
      </c>
      <c r="G731" s="2">
        <f t="shared" si="33"/>
        <v>51000</v>
      </c>
      <c r="H731" t="str">
        <f t="shared" si="34"/>
        <v>High</v>
      </c>
      <c r="I731" t="s">
        <v>8</v>
      </c>
      <c r="L731" t="s">
        <v>19</v>
      </c>
      <c r="M731" s="3">
        <f t="shared" si="35"/>
        <v>2179300</v>
      </c>
    </row>
    <row r="732" spans="1:13" ht="15.75" x14ac:dyDescent="0.3">
      <c r="A732" s="1">
        <v>45407</v>
      </c>
      <c r="B732" t="s">
        <v>15</v>
      </c>
      <c r="C732" t="s">
        <v>21</v>
      </c>
      <c r="D732" t="s">
        <v>17</v>
      </c>
      <c r="E732">
        <v>10</v>
      </c>
      <c r="F732">
        <v>8500</v>
      </c>
      <c r="G732" s="2">
        <f t="shared" si="33"/>
        <v>85000</v>
      </c>
      <c r="H732" t="str">
        <f t="shared" si="34"/>
        <v>High</v>
      </c>
      <c r="I732" t="s">
        <v>8</v>
      </c>
      <c r="L732" t="s">
        <v>15</v>
      </c>
      <c r="M732" s="3">
        <f t="shared" si="35"/>
        <v>2145050</v>
      </c>
    </row>
    <row r="733" spans="1:13" ht="15.75" x14ac:dyDescent="0.3">
      <c r="A733" s="1">
        <v>45439</v>
      </c>
      <c r="B733" t="s">
        <v>25</v>
      </c>
      <c r="C733" t="s">
        <v>6</v>
      </c>
      <c r="D733" t="s">
        <v>10</v>
      </c>
      <c r="E733">
        <v>10</v>
      </c>
      <c r="F733">
        <v>4500</v>
      </c>
      <c r="G733" s="2">
        <f t="shared" si="33"/>
        <v>45000</v>
      </c>
      <c r="H733" t="str">
        <f t="shared" si="34"/>
        <v>High</v>
      </c>
      <c r="I733" t="s">
        <v>14</v>
      </c>
      <c r="L733" t="s">
        <v>25</v>
      </c>
      <c r="M733" s="3">
        <f t="shared" si="35"/>
        <v>2243250</v>
      </c>
    </row>
    <row r="734" spans="1:13" ht="15.75" x14ac:dyDescent="0.3">
      <c r="A734" s="1">
        <v>45372</v>
      </c>
      <c r="B734" t="s">
        <v>12</v>
      </c>
      <c r="C734" t="s">
        <v>16</v>
      </c>
      <c r="D734" t="s">
        <v>20</v>
      </c>
      <c r="E734">
        <v>8</v>
      </c>
      <c r="F734">
        <v>300</v>
      </c>
      <c r="G734" s="2">
        <f t="shared" si="33"/>
        <v>2400</v>
      </c>
      <c r="H734" t="str">
        <f t="shared" si="34"/>
        <v>Low</v>
      </c>
      <c r="I734" t="s">
        <v>8</v>
      </c>
      <c r="L734" t="s">
        <v>12</v>
      </c>
      <c r="M734" s="3">
        <f t="shared" si="35"/>
        <v>2865050</v>
      </c>
    </row>
    <row r="735" spans="1:13" ht="15.75" x14ac:dyDescent="0.3">
      <c r="A735" s="1">
        <v>45322</v>
      </c>
      <c r="B735" t="s">
        <v>12</v>
      </c>
      <c r="C735" t="s">
        <v>13</v>
      </c>
      <c r="D735" t="s">
        <v>7</v>
      </c>
      <c r="E735">
        <v>5</v>
      </c>
      <c r="F735">
        <v>8500</v>
      </c>
      <c r="G735" s="2">
        <f t="shared" si="33"/>
        <v>42500</v>
      </c>
      <c r="H735" t="str">
        <f t="shared" si="34"/>
        <v>High</v>
      </c>
      <c r="I735" t="s">
        <v>8</v>
      </c>
      <c r="L735" t="s">
        <v>12</v>
      </c>
      <c r="M735" s="3">
        <f t="shared" si="35"/>
        <v>2865050</v>
      </c>
    </row>
    <row r="736" spans="1:13" ht="15.75" x14ac:dyDescent="0.3">
      <c r="A736" s="1">
        <v>45501</v>
      </c>
      <c r="B736" t="s">
        <v>24</v>
      </c>
      <c r="C736" t="s">
        <v>13</v>
      </c>
      <c r="D736" t="s">
        <v>18</v>
      </c>
      <c r="E736">
        <v>5</v>
      </c>
      <c r="F736">
        <v>150</v>
      </c>
      <c r="G736" s="2">
        <f t="shared" si="33"/>
        <v>750</v>
      </c>
      <c r="H736" t="str">
        <f t="shared" si="34"/>
        <v>Low</v>
      </c>
      <c r="I736" t="s">
        <v>8</v>
      </c>
      <c r="L736" t="s">
        <v>24</v>
      </c>
      <c r="M736" s="3">
        <f t="shared" si="35"/>
        <v>2514250</v>
      </c>
    </row>
    <row r="737" spans="1:13" ht="15.75" x14ac:dyDescent="0.3">
      <c r="A737" s="1">
        <v>45430</v>
      </c>
      <c r="B737" t="s">
        <v>24</v>
      </c>
      <c r="C737" t="s">
        <v>21</v>
      </c>
      <c r="D737" t="s">
        <v>10</v>
      </c>
      <c r="E737">
        <v>9</v>
      </c>
      <c r="F737">
        <v>3200</v>
      </c>
      <c r="G737" s="2">
        <f t="shared" si="33"/>
        <v>28800</v>
      </c>
      <c r="H737" t="str">
        <f t="shared" si="34"/>
        <v>High</v>
      </c>
      <c r="I737" t="s">
        <v>8</v>
      </c>
      <c r="L737" t="s">
        <v>24</v>
      </c>
      <c r="M737" s="3">
        <f t="shared" si="35"/>
        <v>2514250</v>
      </c>
    </row>
    <row r="738" spans="1:13" ht="15.75" x14ac:dyDescent="0.3">
      <c r="A738" s="1">
        <v>45462</v>
      </c>
      <c r="B738" t="s">
        <v>26</v>
      </c>
      <c r="C738" t="s">
        <v>22</v>
      </c>
      <c r="D738" t="s">
        <v>7</v>
      </c>
      <c r="E738">
        <v>3</v>
      </c>
      <c r="F738">
        <v>300</v>
      </c>
      <c r="G738" s="2">
        <f t="shared" si="33"/>
        <v>900</v>
      </c>
      <c r="H738" t="str">
        <f t="shared" si="34"/>
        <v>Low</v>
      </c>
      <c r="I738" t="s">
        <v>11</v>
      </c>
      <c r="L738" t="s">
        <v>26</v>
      </c>
      <c r="M738" s="3">
        <f t="shared" si="35"/>
        <v>2430500</v>
      </c>
    </row>
    <row r="739" spans="1:13" ht="15.75" x14ac:dyDescent="0.3">
      <c r="A739" s="1">
        <v>45643</v>
      </c>
      <c r="B739" t="s">
        <v>9</v>
      </c>
      <c r="C739" t="s">
        <v>21</v>
      </c>
      <c r="D739" t="s">
        <v>17</v>
      </c>
      <c r="E739">
        <v>9</v>
      </c>
      <c r="F739">
        <v>150</v>
      </c>
      <c r="G739" s="2">
        <f t="shared" si="33"/>
        <v>1350</v>
      </c>
      <c r="H739" t="str">
        <f t="shared" si="34"/>
        <v>Low</v>
      </c>
      <c r="I739" t="s">
        <v>14</v>
      </c>
      <c r="L739" t="s">
        <v>9</v>
      </c>
      <c r="M739" s="3">
        <f t="shared" si="35"/>
        <v>1849750</v>
      </c>
    </row>
    <row r="740" spans="1:13" ht="15.75" x14ac:dyDescent="0.3">
      <c r="A740" s="1">
        <v>45584</v>
      </c>
      <c r="B740" t="s">
        <v>25</v>
      </c>
      <c r="C740" t="s">
        <v>22</v>
      </c>
      <c r="D740" t="s">
        <v>20</v>
      </c>
      <c r="E740">
        <v>1</v>
      </c>
      <c r="F740">
        <v>4500</v>
      </c>
      <c r="G740" s="2">
        <f t="shared" si="33"/>
        <v>4500</v>
      </c>
      <c r="H740" t="str">
        <f t="shared" si="34"/>
        <v>Low</v>
      </c>
      <c r="I740" t="s">
        <v>8</v>
      </c>
      <c r="L740" t="s">
        <v>25</v>
      </c>
      <c r="M740" s="3">
        <f t="shared" si="35"/>
        <v>2243250</v>
      </c>
    </row>
    <row r="741" spans="1:13" ht="15.75" x14ac:dyDescent="0.3">
      <c r="A741" s="1">
        <v>45639</v>
      </c>
      <c r="B741" t="s">
        <v>9</v>
      </c>
      <c r="C741" t="s">
        <v>22</v>
      </c>
      <c r="D741" t="s">
        <v>17</v>
      </c>
      <c r="E741">
        <v>5</v>
      </c>
      <c r="F741">
        <v>8500</v>
      </c>
      <c r="G741" s="2">
        <f t="shared" si="33"/>
        <v>42500</v>
      </c>
      <c r="H741" t="str">
        <f t="shared" si="34"/>
        <v>High</v>
      </c>
      <c r="I741" t="s">
        <v>11</v>
      </c>
      <c r="L741" t="s">
        <v>9</v>
      </c>
      <c r="M741" s="3">
        <f t="shared" si="35"/>
        <v>1849750</v>
      </c>
    </row>
    <row r="742" spans="1:13" ht="15.75" x14ac:dyDescent="0.3">
      <c r="A742" s="1">
        <v>45634</v>
      </c>
      <c r="B742" t="s">
        <v>23</v>
      </c>
      <c r="C742" t="s">
        <v>6</v>
      </c>
      <c r="D742" t="s">
        <v>20</v>
      </c>
      <c r="E742">
        <v>7</v>
      </c>
      <c r="F742">
        <v>4500</v>
      </c>
      <c r="G742" s="2">
        <f t="shared" si="33"/>
        <v>31500</v>
      </c>
      <c r="H742" t="str">
        <f t="shared" si="34"/>
        <v>High</v>
      </c>
      <c r="I742" t="s">
        <v>11</v>
      </c>
      <c r="L742" t="s">
        <v>23</v>
      </c>
      <c r="M742" s="3">
        <f t="shared" si="35"/>
        <v>2202100</v>
      </c>
    </row>
    <row r="743" spans="1:13" ht="15.75" x14ac:dyDescent="0.3">
      <c r="A743" s="1">
        <v>45441</v>
      </c>
      <c r="B743" t="s">
        <v>12</v>
      </c>
      <c r="C743" t="s">
        <v>6</v>
      </c>
      <c r="D743" t="s">
        <v>20</v>
      </c>
      <c r="E743">
        <v>2</v>
      </c>
      <c r="F743">
        <v>8500</v>
      </c>
      <c r="G743" s="2">
        <f t="shared" si="33"/>
        <v>17000</v>
      </c>
      <c r="H743" t="str">
        <f t="shared" si="34"/>
        <v>High</v>
      </c>
      <c r="I743" t="s">
        <v>14</v>
      </c>
      <c r="L743" t="s">
        <v>12</v>
      </c>
      <c r="M743" s="3">
        <f t="shared" si="35"/>
        <v>2865050</v>
      </c>
    </row>
    <row r="744" spans="1:13" ht="15.75" x14ac:dyDescent="0.3">
      <c r="A744" s="1">
        <v>45297</v>
      </c>
      <c r="B744" t="s">
        <v>12</v>
      </c>
      <c r="C744" t="s">
        <v>13</v>
      </c>
      <c r="D744" t="s">
        <v>17</v>
      </c>
      <c r="E744">
        <v>7</v>
      </c>
      <c r="F744">
        <v>8500</v>
      </c>
      <c r="G744" s="2">
        <f t="shared" si="33"/>
        <v>59500</v>
      </c>
      <c r="H744" t="str">
        <f t="shared" si="34"/>
        <v>High</v>
      </c>
      <c r="I744" t="s">
        <v>11</v>
      </c>
      <c r="L744" t="s">
        <v>12</v>
      </c>
      <c r="M744" s="3">
        <f t="shared" si="35"/>
        <v>2865050</v>
      </c>
    </row>
    <row r="745" spans="1:13" ht="15.75" x14ac:dyDescent="0.3">
      <c r="A745" s="1">
        <v>45559</v>
      </c>
      <c r="B745" t="s">
        <v>24</v>
      </c>
      <c r="C745" t="s">
        <v>22</v>
      </c>
      <c r="D745" t="s">
        <v>18</v>
      </c>
      <c r="E745">
        <v>2</v>
      </c>
      <c r="F745">
        <v>4500</v>
      </c>
      <c r="G745" s="2">
        <f t="shared" si="33"/>
        <v>9000</v>
      </c>
      <c r="H745" t="str">
        <f t="shared" si="34"/>
        <v>Low</v>
      </c>
      <c r="I745" t="s">
        <v>11</v>
      </c>
      <c r="L745" t="s">
        <v>24</v>
      </c>
      <c r="M745" s="3">
        <f t="shared" si="35"/>
        <v>2514250</v>
      </c>
    </row>
    <row r="746" spans="1:13" ht="15.75" x14ac:dyDescent="0.3">
      <c r="A746" s="1">
        <v>45622</v>
      </c>
      <c r="B746" t="s">
        <v>15</v>
      </c>
      <c r="C746" t="s">
        <v>16</v>
      </c>
      <c r="D746" t="s">
        <v>7</v>
      </c>
      <c r="E746">
        <v>2</v>
      </c>
      <c r="F746">
        <v>3200</v>
      </c>
      <c r="G746" s="2">
        <f t="shared" si="33"/>
        <v>6400</v>
      </c>
      <c r="H746" t="str">
        <f t="shared" si="34"/>
        <v>Low</v>
      </c>
      <c r="I746" t="s">
        <v>11</v>
      </c>
      <c r="L746" t="s">
        <v>15</v>
      </c>
      <c r="M746" s="3">
        <f t="shared" si="35"/>
        <v>2145050</v>
      </c>
    </row>
    <row r="747" spans="1:13" ht="15.75" x14ac:dyDescent="0.3">
      <c r="A747" s="1">
        <v>45492</v>
      </c>
      <c r="B747" t="s">
        <v>24</v>
      </c>
      <c r="C747" t="s">
        <v>21</v>
      </c>
      <c r="D747" t="s">
        <v>18</v>
      </c>
      <c r="E747">
        <v>7</v>
      </c>
      <c r="F747">
        <v>150</v>
      </c>
      <c r="G747" s="2">
        <f t="shared" si="33"/>
        <v>1050</v>
      </c>
      <c r="H747" t="str">
        <f t="shared" si="34"/>
        <v>Low</v>
      </c>
      <c r="I747" t="s">
        <v>8</v>
      </c>
      <c r="L747" t="s">
        <v>24</v>
      </c>
      <c r="M747" s="3">
        <f t="shared" si="35"/>
        <v>2514250</v>
      </c>
    </row>
    <row r="748" spans="1:13" ht="15.75" x14ac:dyDescent="0.3">
      <c r="A748" s="1">
        <v>45544</v>
      </c>
      <c r="B748" t="s">
        <v>26</v>
      </c>
      <c r="C748" t="s">
        <v>16</v>
      </c>
      <c r="D748" t="s">
        <v>20</v>
      </c>
      <c r="E748">
        <v>10</v>
      </c>
      <c r="F748">
        <v>3200</v>
      </c>
      <c r="G748" s="2">
        <f t="shared" si="33"/>
        <v>32000</v>
      </c>
      <c r="H748" t="str">
        <f t="shared" si="34"/>
        <v>High</v>
      </c>
      <c r="I748" t="s">
        <v>8</v>
      </c>
      <c r="L748" t="s">
        <v>26</v>
      </c>
      <c r="M748" s="3">
        <f t="shared" si="35"/>
        <v>2430500</v>
      </c>
    </row>
    <row r="749" spans="1:13" ht="15.75" x14ac:dyDescent="0.3">
      <c r="A749" s="1">
        <v>45556</v>
      </c>
      <c r="B749" t="s">
        <v>25</v>
      </c>
      <c r="C749" t="s">
        <v>6</v>
      </c>
      <c r="D749" t="s">
        <v>17</v>
      </c>
      <c r="E749">
        <v>5</v>
      </c>
      <c r="F749">
        <v>8500</v>
      </c>
      <c r="G749" s="2">
        <f t="shared" si="33"/>
        <v>42500</v>
      </c>
      <c r="H749" t="str">
        <f t="shared" si="34"/>
        <v>High</v>
      </c>
      <c r="I749" t="s">
        <v>11</v>
      </c>
      <c r="L749" t="s">
        <v>25</v>
      </c>
      <c r="M749" s="3">
        <f t="shared" si="35"/>
        <v>2243250</v>
      </c>
    </row>
    <row r="750" spans="1:13" ht="15.75" x14ac:dyDescent="0.3">
      <c r="A750" s="1">
        <v>45539</v>
      </c>
      <c r="B750" t="s">
        <v>26</v>
      </c>
      <c r="C750" t="s">
        <v>16</v>
      </c>
      <c r="D750" t="s">
        <v>7</v>
      </c>
      <c r="E750">
        <v>7</v>
      </c>
      <c r="F750">
        <v>4500</v>
      </c>
      <c r="G750" s="2">
        <f t="shared" si="33"/>
        <v>31500</v>
      </c>
      <c r="H750" t="str">
        <f t="shared" si="34"/>
        <v>High</v>
      </c>
      <c r="I750" t="s">
        <v>11</v>
      </c>
      <c r="L750" t="s">
        <v>26</v>
      </c>
      <c r="M750" s="3">
        <f t="shared" si="35"/>
        <v>2430500</v>
      </c>
    </row>
    <row r="751" spans="1:13" ht="15.75" x14ac:dyDescent="0.3">
      <c r="A751" s="1">
        <v>45318</v>
      </c>
      <c r="B751" t="s">
        <v>9</v>
      </c>
      <c r="C751" t="s">
        <v>21</v>
      </c>
      <c r="D751" t="s">
        <v>18</v>
      </c>
      <c r="E751">
        <v>4</v>
      </c>
      <c r="F751">
        <v>150</v>
      </c>
      <c r="G751" s="2">
        <f t="shared" si="33"/>
        <v>600</v>
      </c>
      <c r="H751" t="str">
        <f t="shared" si="34"/>
        <v>Low</v>
      </c>
      <c r="I751" t="s">
        <v>8</v>
      </c>
      <c r="L751" t="s">
        <v>9</v>
      </c>
      <c r="M751" s="3">
        <f t="shared" si="35"/>
        <v>1849750</v>
      </c>
    </row>
    <row r="752" spans="1:13" ht="15.75" x14ac:dyDescent="0.3">
      <c r="A752" s="1">
        <v>45331</v>
      </c>
      <c r="B752" t="s">
        <v>19</v>
      </c>
      <c r="C752" t="s">
        <v>16</v>
      </c>
      <c r="D752" t="s">
        <v>20</v>
      </c>
      <c r="E752">
        <v>10</v>
      </c>
      <c r="F752">
        <v>3200</v>
      </c>
      <c r="G752" s="2">
        <f t="shared" si="33"/>
        <v>32000</v>
      </c>
      <c r="H752" t="str">
        <f t="shared" si="34"/>
        <v>High</v>
      </c>
      <c r="I752" t="s">
        <v>11</v>
      </c>
      <c r="L752" t="s">
        <v>19</v>
      </c>
      <c r="M752" s="3">
        <f t="shared" si="35"/>
        <v>2179300</v>
      </c>
    </row>
    <row r="753" spans="1:13" ht="15.75" x14ac:dyDescent="0.3">
      <c r="A753" s="1">
        <v>45560</v>
      </c>
      <c r="B753" t="s">
        <v>9</v>
      </c>
      <c r="C753" t="s">
        <v>6</v>
      </c>
      <c r="D753" t="s">
        <v>10</v>
      </c>
      <c r="E753">
        <v>4</v>
      </c>
      <c r="F753">
        <v>8500</v>
      </c>
      <c r="G753" s="2">
        <f t="shared" si="33"/>
        <v>34000</v>
      </c>
      <c r="H753" t="str">
        <f t="shared" si="34"/>
        <v>High</v>
      </c>
      <c r="I753" t="s">
        <v>14</v>
      </c>
      <c r="L753" t="s">
        <v>9</v>
      </c>
      <c r="M753" s="3">
        <f t="shared" si="35"/>
        <v>1849750</v>
      </c>
    </row>
    <row r="754" spans="1:13" ht="15.75" x14ac:dyDescent="0.3">
      <c r="A754" s="1">
        <v>45355</v>
      </c>
      <c r="B754" t="s">
        <v>9</v>
      </c>
      <c r="C754" t="s">
        <v>13</v>
      </c>
      <c r="D754" t="s">
        <v>17</v>
      </c>
      <c r="E754">
        <v>7</v>
      </c>
      <c r="F754">
        <v>300</v>
      </c>
      <c r="G754" s="2">
        <f t="shared" si="33"/>
        <v>2100</v>
      </c>
      <c r="H754" t="str">
        <f t="shared" si="34"/>
        <v>Low</v>
      </c>
      <c r="I754" t="s">
        <v>11</v>
      </c>
      <c r="L754" t="s">
        <v>9</v>
      </c>
      <c r="M754" s="3">
        <f t="shared" si="35"/>
        <v>1849750</v>
      </c>
    </row>
    <row r="755" spans="1:13" ht="15.75" x14ac:dyDescent="0.3">
      <c r="A755" s="1">
        <v>45435</v>
      </c>
      <c r="B755" t="s">
        <v>23</v>
      </c>
      <c r="C755" t="s">
        <v>21</v>
      </c>
      <c r="D755" t="s">
        <v>20</v>
      </c>
      <c r="E755">
        <v>5</v>
      </c>
      <c r="F755">
        <v>4500</v>
      </c>
      <c r="G755" s="2">
        <f t="shared" si="33"/>
        <v>22500</v>
      </c>
      <c r="H755" t="str">
        <f t="shared" si="34"/>
        <v>High</v>
      </c>
      <c r="I755" t="s">
        <v>11</v>
      </c>
      <c r="L755" t="s">
        <v>23</v>
      </c>
      <c r="M755" s="3">
        <f t="shared" si="35"/>
        <v>2202100</v>
      </c>
    </row>
    <row r="756" spans="1:13" ht="15.75" x14ac:dyDescent="0.3">
      <c r="A756" s="1">
        <v>45645</v>
      </c>
      <c r="B756" t="s">
        <v>23</v>
      </c>
      <c r="C756" t="s">
        <v>6</v>
      </c>
      <c r="D756" t="s">
        <v>7</v>
      </c>
      <c r="E756">
        <v>1</v>
      </c>
      <c r="F756">
        <v>8500</v>
      </c>
      <c r="G756" s="2">
        <f t="shared" si="33"/>
        <v>8500</v>
      </c>
      <c r="H756" t="str">
        <f t="shared" si="34"/>
        <v>Low</v>
      </c>
      <c r="I756" t="s">
        <v>14</v>
      </c>
      <c r="L756" t="s">
        <v>23</v>
      </c>
      <c r="M756" s="3">
        <f t="shared" si="35"/>
        <v>2202100</v>
      </c>
    </row>
    <row r="757" spans="1:13" ht="15.75" x14ac:dyDescent="0.3">
      <c r="A757" s="1">
        <v>45556</v>
      </c>
      <c r="B757" t="s">
        <v>19</v>
      </c>
      <c r="C757" t="s">
        <v>21</v>
      </c>
      <c r="D757" t="s">
        <v>20</v>
      </c>
      <c r="E757">
        <v>8</v>
      </c>
      <c r="F757">
        <v>150</v>
      </c>
      <c r="G757" s="2">
        <f t="shared" si="33"/>
        <v>1200</v>
      </c>
      <c r="H757" t="str">
        <f t="shared" si="34"/>
        <v>Low</v>
      </c>
      <c r="I757" t="s">
        <v>8</v>
      </c>
      <c r="L757" t="s">
        <v>19</v>
      </c>
      <c r="M757" s="3">
        <f t="shared" si="35"/>
        <v>2179300</v>
      </c>
    </row>
    <row r="758" spans="1:13" ht="15.75" x14ac:dyDescent="0.3">
      <c r="A758" s="1">
        <v>45434</v>
      </c>
      <c r="B758" t="s">
        <v>23</v>
      </c>
      <c r="C758" t="s">
        <v>16</v>
      </c>
      <c r="D758" t="s">
        <v>7</v>
      </c>
      <c r="E758">
        <v>2</v>
      </c>
      <c r="F758">
        <v>8500</v>
      </c>
      <c r="G758" s="2">
        <f t="shared" si="33"/>
        <v>17000</v>
      </c>
      <c r="H758" t="str">
        <f t="shared" si="34"/>
        <v>High</v>
      </c>
      <c r="I758" t="s">
        <v>8</v>
      </c>
      <c r="L758" t="s">
        <v>23</v>
      </c>
      <c r="M758" s="3">
        <f t="shared" si="35"/>
        <v>2202100</v>
      </c>
    </row>
    <row r="759" spans="1:13" ht="15.75" x14ac:dyDescent="0.3">
      <c r="A759" s="1">
        <v>45627</v>
      </c>
      <c r="B759" t="s">
        <v>26</v>
      </c>
      <c r="C759" t="s">
        <v>16</v>
      </c>
      <c r="D759" t="s">
        <v>18</v>
      </c>
      <c r="E759">
        <v>4</v>
      </c>
      <c r="F759">
        <v>150</v>
      </c>
      <c r="G759" s="2">
        <f t="shared" si="33"/>
        <v>600</v>
      </c>
      <c r="H759" t="str">
        <f t="shared" si="34"/>
        <v>Low</v>
      </c>
      <c r="I759" t="s">
        <v>14</v>
      </c>
      <c r="L759" t="s">
        <v>26</v>
      </c>
      <c r="M759" s="3">
        <f t="shared" si="35"/>
        <v>2430500</v>
      </c>
    </row>
    <row r="760" spans="1:13" ht="15.75" x14ac:dyDescent="0.3">
      <c r="A760" s="1">
        <v>45633</v>
      </c>
      <c r="B760" t="s">
        <v>23</v>
      </c>
      <c r="C760" t="s">
        <v>13</v>
      </c>
      <c r="D760" t="s">
        <v>17</v>
      </c>
      <c r="E760">
        <v>10</v>
      </c>
      <c r="F760">
        <v>3200</v>
      </c>
      <c r="G760" s="2">
        <f t="shared" si="33"/>
        <v>32000</v>
      </c>
      <c r="H760" t="str">
        <f t="shared" si="34"/>
        <v>High</v>
      </c>
      <c r="I760" t="s">
        <v>8</v>
      </c>
      <c r="L760" t="s">
        <v>23</v>
      </c>
      <c r="M760" s="3">
        <f t="shared" si="35"/>
        <v>2202100</v>
      </c>
    </row>
    <row r="761" spans="1:13" ht="15.75" x14ac:dyDescent="0.3">
      <c r="A761" s="1">
        <v>45394</v>
      </c>
      <c r="B761" t="s">
        <v>12</v>
      </c>
      <c r="C761" t="s">
        <v>16</v>
      </c>
      <c r="D761" t="s">
        <v>7</v>
      </c>
      <c r="E761">
        <v>7</v>
      </c>
      <c r="F761">
        <v>4500</v>
      </c>
      <c r="G761" s="2">
        <f t="shared" si="33"/>
        <v>31500</v>
      </c>
      <c r="H761" t="str">
        <f t="shared" si="34"/>
        <v>High</v>
      </c>
      <c r="I761" t="s">
        <v>8</v>
      </c>
      <c r="L761" t="s">
        <v>12</v>
      </c>
      <c r="M761" s="3">
        <f t="shared" si="35"/>
        <v>2865050</v>
      </c>
    </row>
    <row r="762" spans="1:13" ht="15.75" x14ac:dyDescent="0.3">
      <c r="A762" s="1">
        <v>45427</v>
      </c>
      <c r="B762" t="s">
        <v>26</v>
      </c>
      <c r="C762" t="s">
        <v>13</v>
      </c>
      <c r="D762" t="s">
        <v>7</v>
      </c>
      <c r="E762">
        <v>1</v>
      </c>
      <c r="F762">
        <v>150</v>
      </c>
      <c r="G762" s="2">
        <f t="shared" si="33"/>
        <v>150</v>
      </c>
      <c r="H762" t="str">
        <f t="shared" si="34"/>
        <v>Low</v>
      </c>
      <c r="I762" t="s">
        <v>11</v>
      </c>
      <c r="L762" t="s">
        <v>26</v>
      </c>
      <c r="M762" s="3">
        <f t="shared" si="35"/>
        <v>2430500</v>
      </c>
    </row>
    <row r="763" spans="1:13" ht="15.75" x14ac:dyDescent="0.3">
      <c r="A763" s="1">
        <v>45520</v>
      </c>
      <c r="B763" t="s">
        <v>15</v>
      </c>
      <c r="C763" t="s">
        <v>13</v>
      </c>
      <c r="D763" t="s">
        <v>18</v>
      </c>
      <c r="E763">
        <v>7</v>
      </c>
      <c r="F763">
        <v>150</v>
      </c>
      <c r="G763" s="2">
        <f t="shared" si="33"/>
        <v>1050</v>
      </c>
      <c r="H763" t="str">
        <f t="shared" si="34"/>
        <v>Low</v>
      </c>
      <c r="I763" t="s">
        <v>8</v>
      </c>
      <c r="L763" t="s">
        <v>15</v>
      </c>
      <c r="M763" s="3">
        <f t="shared" si="35"/>
        <v>2145050</v>
      </c>
    </row>
    <row r="764" spans="1:13" ht="15.75" x14ac:dyDescent="0.3">
      <c r="A764" s="1">
        <v>45597</v>
      </c>
      <c r="B764" t="s">
        <v>15</v>
      </c>
      <c r="C764" t="s">
        <v>6</v>
      </c>
      <c r="D764" t="s">
        <v>10</v>
      </c>
      <c r="E764">
        <v>9</v>
      </c>
      <c r="F764">
        <v>3200</v>
      </c>
      <c r="G764" s="2">
        <f t="shared" si="33"/>
        <v>28800</v>
      </c>
      <c r="H764" t="str">
        <f t="shared" si="34"/>
        <v>High</v>
      </c>
      <c r="I764" t="s">
        <v>8</v>
      </c>
      <c r="L764" t="s">
        <v>15</v>
      </c>
      <c r="M764" s="3">
        <f t="shared" si="35"/>
        <v>2145050</v>
      </c>
    </row>
    <row r="765" spans="1:13" ht="15.75" x14ac:dyDescent="0.3">
      <c r="A765" s="1">
        <v>45451</v>
      </c>
      <c r="B765" t="s">
        <v>9</v>
      </c>
      <c r="C765" t="s">
        <v>13</v>
      </c>
      <c r="D765" t="s">
        <v>20</v>
      </c>
      <c r="E765">
        <v>5</v>
      </c>
      <c r="F765">
        <v>300</v>
      </c>
      <c r="G765" s="2">
        <f t="shared" si="33"/>
        <v>1500</v>
      </c>
      <c r="H765" t="str">
        <f t="shared" si="34"/>
        <v>Low</v>
      </c>
      <c r="I765" t="s">
        <v>11</v>
      </c>
      <c r="L765" t="s">
        <v>9</v>
      </c>
      <c r="M765" s="3">
        <f t="shared" si="35"/>
        <v>1849750</v>
      </c>
    </row>
    <row r="766" spans="1:13" ht="15.75" x14ac:dyDescent="0.3">
      <c r="A766" s="1">
        <v>45324</v>
      </c>
      <c r="B766" t="s">
        <v>23</v>
      </c>
      <c r="C766" t="s">
        <v>6</v>
      </c>
      <c r="D766" t="s">
        <v>10</v>
      </c>
      <c r="E766">
        <v>10</v>
      </c>
      <c r="F766">
        <v>8500</v>
      </c>
      <c r="G766" s="2">
        <f t="shared" si="33"/>
        <v>85000</v>
      </c>
      <c r="H766" t="str">
        <f t="shared" si="34"/>
        <v>High</v>
      </c>
      <c r="I766" t="s">
        <v>11</v>
      </c>
      <c r="L766" t="s">
        <v>23</v>
      </c>
      <c r="M766" s="3">
        <f t="shared" si="35"/>
        <v>2202100</v>
      </c>
    </row>
    <row r="767" spans="1:13" ht="15.75" x14ac:dyDescent="0.3">
      <c r="A767" s="1">
        <v>45391</v>
      </c>
      <c r="B767" t="s">
        <v>12</v>
      </c>
      <c r="C767" t="s">
        <v>13</v>
      </c>
      <c r="D767" t="s">
        <v>20</v>
      </c>
      <c r="E767">
        <v>1</v>
      </c>
      <c r="F767">
        <v>300</v>
      </c>
      <c r="G767" s="2">
        <f t="shared" si="33"/>
        <v>300</v>
      </c>
      <c r="H767" t="str">
        <f t="shared" si="34"/>
        <v>Low</v>
      </c>
      <c r="I767" t="s">
        <v>14</v>
      </c>
      <c r="L767" t="s">
        <v>12</v>
      </c>
      <c r="M767" s="3">
        <f t="shared" si="35"/>
        <v>2865050</v>
      </c>
    </row>
    <row r="768" spans="1:13" ht="15.75" x14ac:dyDescent="0.3">
      <c r="A768" s="1">
        <v>45404</v>
      </c>
      <c r="B768" t="s">
        <v>15</v>
      </c>
      <c r="C768" t="s">
        <v>21</v>
      </c>
      <c r="D768" t="s">
        <v>10</v>
      </c>
      <c r="E768">
        <v>5</v>
      </c>
      <c r="F768">
        <v>8500</v>
      </c>
      <c r="G768" s="2">
        <f t="shared" si="33"/>
        <v>42500</v>
      </c>
      <c r="H768" t="str">
        <f t="shared" si="34"/>
        <v>High</v>
      </c>
      <c r="I768" t="s">
        <v>11</v>
      </c>
      <c r="L768" t="s">
        <v>15</v>
      </c>
      <c r="M768" s="3">
        <f t="shared" si="35"/>
        <v>2145050</v>
      </c>
    </row>
    <row r="769" spans="1:13" ht="15.75" x14ac:dyDescent="0.3">
      <c r="A769" s="1">
        <v>45564</v>
      </c>
      <c r="B769" t="s">
        <v>24</v>
      </c>
      <c r="C769" t="s">
        <v>21</v>
      </c>
      <c r="D769" t="s">
        <v>18</v>
      </c>
      <c r="E769">
        <v>4</v>
      </c>
      <c r="F769">
        <v>300</v>
      </c>
      <c r="G769" s="2">
        <f t="shared" si="33"/>
        <v>1200</v>
      </c>
      <c r="H769" t="str">
        <f t="shared" si="34"/>
        <v>Low</v>
      </c>
      <c r="I769" t="s">
        <v>11</v>
      </c>
      <c r="L769" t="s">
        <v>24</v>
      </c>
      <c r="M769" s="3">
        <f t="shared" si="35"/>
        <v>2514250</v>
      </c>
    </row>
    <row r="770" spans="1:13" ht="15.75" x14ac:dyDescent="0.3">
      <c r="A770" s="1">
        <v>45583</v>
      </c>
      <c r="B770" t="s">
        <v>9</v>
      </c>
      <c r="C770" t="s">
        <v>22</v>
      </c>
      <c r="D770" t="s">
        <v>18</v>
      </c>
      <c r="E770">
        <v>10</v>
      </c>
      <c r="F770">
        <v>3200</v>
      </c>
      <c r="G770" s="2">
        <f t="shared" si="33"/>
        <v>32000</v>
      </c>
      <c r="H770" t="str">
        <f t="shared" si="34"/>
        <v>High</v>
      </c>
      <c r="I770" t="s">
        <v>14</v>
      </c>
      <c r="L770" t="s">
        <v>9</v>
      </c>
      <c r="M770" s="3">
        <f t="shared" si="35"/>
        <v>1849750</v>
      </c>
    </row>
    <row r="771" spans="1:13" ht="15.75" x14ac:dyDescent="0.3">
      <c r="A771" s="1">
        <v>45424</v>
      </c>
      <c r="B771" t="s">
        <v>26</v>
      </c>
      <c r="C771" t="s">
        <v>22</v>
      </c>
      <c r="D771" t="s">
        <v>20</v>
      </c>
      <c r="E771">
        <v>10</v>
      </c>
      <c r="F771">
        <v>3200</v>
      </c>
      <c r="G771" s="2">
        <f t="shared" ref="G771:G834" si="36">E771*F771</f>
        <v>32000</v>
      </c>
      <c r="H771" t="str">
        <f t="shared" ref="H771:H834" si="37">IF(G771&gt;=10000,"High","Low")</f>
        <v>High</v>
      </c>
      <c r="I771" t="s">
        <v>8</v>
      </c>
      <c r="L771" t="s">
        <v>26</v>
      </c>
      <c r="M771" s="3">
        <f t="shared" ref="M771:M834" si="38">SUMIF(B:B,L771,G:G)</f>
        <v>2430500</v>
      </c>
    </row>
    <row r="772" spans="1:13" ht="15.75" x14ac:dyDescent="0.3">
      <c r="A772" s="1">
        <v>45653</v>
      </c>
      <c r="B772" t="s">
        <v>15</v>
      </c>
      <c r="C772" t="s">
        <v>6</v>
      </c>
      <c r="D772" t="s">
        <v>17</v>
      </c>
      <c r="E772">
        <v>1</v>
      </c>
      <c r="F772">
        <v>8500</v>
      </c>
      <c r="G772" s="2">
        <f t="shared" si="36"/>
        <v>8500</v>
      </c>
      <c r="H772" t="str">
        <f t="shared" si="37"/>
        <v>Low</v>
      </c>
      <c r="I772" t="s">
        <v>14</v>
      </c>
      <c r="L772" t="s">
        <v>15</v>
      </c>
      <c r="M772" s="3">
        <f t="shared" si="38"/>
        <v>2145050</v>
      </c>
    </row>
    <row r="773" spans="1:13" ht="15.75" x14ac:dyDescent="0.3">
      <c r="A773" s="1">
        <v>45583</v>
      </c>
      <c r="B773" t="s">
        <v>24</v>
      </c>
      <c r="C773" t="s">
        <v>22</v>
      </c>
      <c r="D773" t="s">
        <v>18</v>
      </c>
      <c r="E773">
        <v>7</v>
      </c>
      <c r="F773">
        <v>4500</v>
      </c>
      <c r="G773" s="2">
        <f t="shared" si="36"/>
        <v>31500</v>
      </c>
      <c r="H773" t="str">
        <f t="shared" si="37"/>
        <v>High</v>
      </c>
      <c r="I773" t="s">
        <v>11</v>
      </c>
      <c r="L773" t="s">
        <v>24</v>
      </c>
      <c r="M773" s="3">
        <f t="shared" si="38"/>
        <v>2514250</v>
      </c>
    </row>
    <row r="774" spans="1:13" ht="15.75" x14ac:dyDescent="0.3">
      <c r="A774" s="1">
        <v>45527</v>
      </c>
      <c r="B774" t="s">
        <v>23</v>
      </c>
      <c r="C774" t="s">
        <v>21</v>
      </c>
      <c r="D774" t="s">
        <v>10</v>
      </c>
      <c r="E774">
        <v>10</v>
      </c>
      <c r="F774">
        <v>3200</v>
      </c>
      <c r="G774" s="2">
        <f t="shared" si="36"/>
        <v>32000</v>
      </c>
      <c r="H774" t="str">
        <f t="shared" si="37"/>
        <v>High</v>
      </c>
      <c r="I774" t="s">
        <v>14</v>
      </c>
      <c r="L774" t="s">
        <v>23</v>
      </c>
      <c r="M774" s="3">
        <f t="shared" si="38"/>
        <v>2202100</v>
      </c>
    </row>
    <row r="775" spans="1:13" ht="15.75" x14ac:dyDescent="0.3">
      <c r="A775" s="1">
        <v>45560</v>
      </c>
      <c r="B775" t="s">
        <v>23</v>
      </c>
      <c r="C775" t="s">
        <v>13</v>
      </c>
      <c r="D775" t="s">
        <v>10</v>
      </c>
      <c r="E775">
        <v>2</v>
      </c>
      <c r="F775">
        <v>300</v>
      </c>
      <c r="G775" s="2">
        <f t="shared" si="36"/>
        <v>600</v>
      </c>
      <c r="H775" t="str">
        <f t="shared" si="37"/>
        <v>Low</v>
      </c>
      <c r="I775" t="s">
        <v>8</v>
      </c>
      <c r="L775" t="s">
        <v>23</v>
      </c>
      <c r="M775" s="3">
        <f t="shared" si="38"/>
        <v>2202100</v>
      </c>
    </row>
    <row r="776" spans="1:13" ht="15.75" x14ac:dyDescent="0.3">
      <c r="A776" s="1">
        <v>45345</v>
      </c>
      <c r="B776" t="s">
        <v>9</v>
      </c>
      <c r="C776" t="s">
        <v>6</v>
      </c>
      <c r="D776" t="s">
        <v>7</v>
      </c>
      <c r="E776">
        <v>2</v>
      </c>
      <c r="F776">
        <v>300</v>
      </c>
      <c r="G776" s="2">
        <f t="shared" si="36"/>
        <v>600</v>
      </c>
      <c r="H776" t="str">
        <f t="shared" si="37"/>
        <v>Low</v>
      </c>
      <c r="I776" t="s">
        <v>14</v>
      </c>
      <c r="L776" t="s">
        <v>9</v>
      </c>
      <c r="M776" s="3">
        <f t="shared" si="38"/>
        <v>1849750</v>
      </c>
    </row>
    <row r="777" spans="1:13" ht="15.75" x14ac:dyDescent="0.3">
      <c r="A777" s="1">
        <v>45438</v>
      </c>
      <c r="B777" t="s">
        <v>9</v>
      </c>
      <c r="C777" t="s">
        <v>22</v>
      </c>
      <c r="D777" t="s">
        <v>7</v>
      </c>
      <c r="E777">
        <v>9</v>
      </c>
      <c r="F777">
        <v>150</v>
      </c>
      <c r="G777" s="2">
        <f t="shared" si="36"/>
        <v>1350</v>
      </c>
      <c r="H777" t="str">
        <f t="shared" si="37"/>
        <v>Low</v>
      </c>
      <c r="I777" t="s">
        <v>11</v>
      </c>
      <c r="L777" t="s">
        <v>9</v>
      </c>
      <c r="M777" s="3">
        <f t="shared" si="38"/>
        <v>1849750</v>
      </c>
    </row>
    <row r="778" spans="1:13" ht="15.75" x14ac:dyDescent="0.3">
      <c r="A778" s="1">
        <v>45312</v>
      </c>
      <c r="B778" t="s">
        <v>9</v>
      </c>
      <c r="C778" t="s">
        <v>22</v>
      </c>
      <c r="D778" t="s">
        <v>20</v>
      </c>
      <c r="E778">
        <v>5</v>
      </c>
      <c r="F778">
        <v>150</v>
      </c>
      <c r="G778" s="2">
        <f t="shared" si="36"/>
        <v>750</v>
      </c>
      <c r="H778" t="str">
        <f t="shared" si="37"/>
        <v>Low</v>
      </c>
      <c r="I778" t="s">
        <v>11</v>
      </c>
      <c r="L778" t="s">
        <v>9</v>
      </c>
      <c r="M778" s="3">
        <f t="shared" si="38"/>
        <v>1849750</v>
      </c>
    </row>
    <row r="779" spans="1:13" ht="15.75" x14ac:dyDescent="0.3">
      <c r="A779" s="1">
        <v>45409</v>
      </c>
      <c r="B779" t="s">
        <v>9</v>
      </c>
      <c r="C779" t="s">
        <v>21</v>
      </c>
      <c r="D779" t="s">
        <v>17</v>
      </c>
      <c r="E779">
        <v>6</v>
      </c>
      <c r="F779">
        <v>8500</v>
      </c>
      <c r="G779" s="2">
        <f t="shared" si="36"/>
        <v>51000</v>
      </c>
      <c r="H779" t="str">
        <f t="shared" si="37"/>
        <v>High</v>
      </c>
      <c r="I779" t="s">
        <v>11</v>
      </c>
      <c r="L779" t="s">
        <v>9</v>
      </c>
      <c r="M779" s="3">
        <f t="shared" si="38"/>
        <v>1849750</v>
      </c>
    </row>
    <row r="780" spans="1:13" ht="15.75" x14ac:dyDescent="0.3">
      <c r="A780" s="1">
        <v>45492</v>
      </c>
      <c r="B780" t="s">
        <v>25</v>
      </c>
      <c r="C780" t="s">
        <v>21</v>
      </c>
      <c r="D780" t="s">
        <v>10</v>
      </c>
      <c r="E780">
        <v>9</v>
      </c>
      <c r="F780">
        <v>4500</v>
      </c>
      <c r="G780" s="2">
        <f t="shared" si="36"/>
        <v>40500</v>
      </c>
      <c r="H780" t="str">
        <f t="shared" si="37"/>
        <v>High</v>
      </c>
      <c r="I780" t="s">
        <v>14</v>
      </c>
      <c r="L780" t="s">
        <v>25</v>
      </c>
      <c r="M780" s="3">
        <f t="shared" si="38"/>
        <v>2243250</v>
      </c>
    </row>
    <row r="781" spans="1:13" ht="15.75" x14ac:dyDescent="0.3">
      <c r="A781" s="1">
        <v>45442</v>
      </c>
      <c r="B781" t="s">
        <v>23</v>
      </c>
      <c r="C781" t="s">
        <v>21</v>
      </c>
      <c r="D781" t="s">
        <v>17</v>
      </c>
      <c r="E781">
        <v>5</v>
      </c>
      <c r="F781">
        <v>300</v>
      </c>
      <c r="G781" s="2">
        <f t="shared" si="36"/>
        <v>1500</v>
      </c>
      <c r="H781" t="str">
        <f t="shared" si="37"/>
        <v>Low</v>
      </c>
      <c r="I781" t="s">
        <v>8</v>
      </c>
      <c r="L781" t="s">
        <v>23</v>
      </c>
      <c r="M781" s="3">
        <f t="shared" si="38"/>
        <v>2202100</v>
      </c>
    </row>
    <row r="782" spans="1:13" ht="15.75" x14ac:dyDescent="0.3">
      <c r="A782" s="1">
        <v>45591</v>
      </c>
      <c r="B782" t="s">
        <v>12</v>
      </c>
      <c r="C782" t="s">
        <v>13</v>
      </c>
      <c r="D782" t="s">
        <v>17</v>
      </c>
      <c r="E782">
        <v>2</v>
      </c>
      <c r="F782">
        <v>4500</v>
      </c>
      <c r="G782" s="2">
        <f t="shared" si="36"/>
        <v>9000</v>
      </c>
      <c r="H782" t="str">
        <f t="shared" si="37"/>
        <v>Low</v>
      </c>
      <c r="I782" t="s">
        <v>8</v>
      </c>
      <c r="L782" t="s">
        <v>12</v>
      </c>
      <c r="M782" s="3">
        <f t="shared" si="38"/>
        <v>2865050</v>
      </c>
    </row>
    <row r="783" spans="1:13" ht="15.75" x14ac:dyDescent="0.3">
      <c r="A783" s="1">
        <v>45472</v>
      </c>
      <c r="B783" t="s">
        <v>25</v>
      </c>
      <c r="C783" t="s">
        <v>6</v>
      </c>
      <c r="D783" t="s">
        <v>18</v>
      </c>
      <c r="E783">
        <v>10</v>
      </c>
      <c r="F783">
        <v>4500</v>
      </c>
      <c r="G783" s="2">
        <f t="shared" si="36"/>
        <v>45000</v>
      </c>
      <c r="H783" t="str">
        <f t="shared" si="37"/>
        <v>High</v>
      </c>
      <c r="I783" t="s">
        <v>11</v>
      </c>
      <c r="L783" t="s">
        <v>25</v>
      </c>
      <c r="M783" s="3">
        <f t="shared" si="38"/>
        <v>2243250</v>
      </c>
    </row>
    <row r="784" spans="1:13" ht="15.75" x14ac:dyDescent="0.3">
      <c r="A784" s="1">
        <v>45470</v>
      </c>
      <c r="B784" t="s">
        <v>15</v>
      </c>
      <c r="C784" t="s">
        <v>6</v>
      </c>
      <c r="D784" t="s">
        <v>20</v>
      </c>
      <c r="E784">
        <v>4</v>
      </c>
      <c r="F784">
        <v>3200</v>
      </c>
      <c r="G784" s="2">
        <f t="shared" si="36"/>
        <v>12800</v>
      </c>
      <c r="H784" t="str">
        <f t="shared" si="37"/>
        <v>High</v>
      </c>
      <c r="I784" t="s">
        <v>11</v>
      </c>
      <c r="L784" t="s">
        <v>15</v>
      </c>
      <c r="M784" s="3">
        <f t="shared" si="38"/>
        <v>2145050</v>
      </c>
    </row>
    <row r="785" spans="1:13" ht="15.75" x14ac:dyDescent="0.3">
      <c r="A785" s="1">
        <v>45443</v>
      </c>
      <c r="B785" t="s">
        <v>23</v>
      </c>
      <c r="C785" t="s">
        <v>22</v>
      </c>
      <c r="D785" t="s">
        <v>17</v>
      </c>
      <c r="E785">
        <v>5</v>
      </c>
      <c r="F785">
        <v>8500</v>
      </c>
      <c r="G785" s="2">
        <f t="shared" si="36"/>
        <v>42500</v>
      </c>
      <c r="H785" t="str">
        <f t="shared" si="37"/>
        <v>High</v>
      </c>
      <c r="I785" t="s">
        <v>8</v>
      </c>
      <c r="L785" t="s">
        <v>23</v>
      </c>
      <c r="M785" s="3">
        <f t="shared" si="38"/>
        <v>2202100</v>
      </c>
    </row>
    <row r="786" spans="1:13" ht="15.75" x14ac:dyDescent="0.3">
      <c r="A786" s="1">
        <v>45292</v>
      </c>
      <c r="B786" t="s">
        <v>19</v>
      </c>
      <c r="C786" t="s">
        <v>16</v>
      </c>
      <c r="D786" t="s">
        <v>20</v>
      </c>
      <c r="E786">
        <v>9</v>
      </c>
      <c r="F786">
        <v>4500</v>
      </c>
      <c r="G786" s="2">
        <f t="shared" si="36"/>
        <v>40500</v>
      </c>
      <c r="H786" t="str">
        <f t="shared" si="37"/>
        <v>High</v>
      </c>
      <c r="I786" t="s">
        <v>8</v>
      </c>
      <c r="L786" t="s">
        <v>19</v>
      </c>
      <c r="M786" s="3">
        <f t="shared" si="38"/>
        <v>2179300</v>
      </c>
    </row>
    <row r="787" spans="1:13" ht="15.75" x14ac:dyDescent="0.3">
      <c r="A787" s="1">
        <v>45462</v>
      </c>
      <c r="B787" t="s">
        <v>23</v>
      </c>
      <c r="C787" t="s">
        <v>21</v>
      </c>
      <c r="D787" t="s">
        <v>17</v>
      </c>
      <c r="E787">
        <v>4</v>
      </c>
      <c r="F787">
        <v>8500</v>
      </c>
      <c r="G787" s="2">
        <f t="shared" si="36"/>
        <v>34000</v>
      </c>
      <c r="H787" t="str">
        <f t="shared" si="37"/>
        <v>High</v>
      </c>
      <c r="I787" t="s">
        <v>11</v>
      </c>
      <c r="L787" t="s">
        <v>23</v>
      </c>
      <c r="M787" s="3">
        <f t="shared" si="38"/>
        <v>2202100</v>
      </c>
    </row>
    <row r="788" spans="1:13" ht="15.75" x14ac:dyDescent="0.3">
      <c r="A788" s="1">
        <v>45515</v>
      </c>
      <c r="B788" t="s">
        <v>25</v>
      </c>
      <c r="C788" t="s">
        <v>21</v>
      </c>
      <c r="D788" t="s">
        <v>7</v>
      </c>
      <c r="E788">
        <v>8</v>
      </c>
      <c r="F788">
        <v>4500</v>
      </c>
      <c r="G788" s="2">
        <f t="shared" si="36"/>
        <v>36000</v>
      </c>
      <c r="H788" t="str">
        <f t="shared" si="37"/>
        <v>High</v>
      </c>
      <c r="I788" t="s">
        <v>11</v>
      </c>
      <c r="L788" t="s">
        <v>25</v>
      </c>
      <c r="M788" s="3">
        <f t="shared" si="38"/>
        <v>2243250</v>
      </c>
    </row>
    <row r="789" spans="1:13" ht="15.75" x14ac:dyDescent="0.3">
      <c r="A789" s="1">
        <v>45377</v>
      </c>
      <c r="B789" t="s">
        <v>24</v>
      </c>
      <c r="C789" t="s">
        <v>21</v>
      </c>
      <c r="D789" t="s">
        <v>18</v>
      </c>
      <c r="E789">
        <v>2</v>
      </c>
      <c r="F789">
        <v>150</v>
      </c>
      <c r="G789" s="2">
        <f t="shared" si="36"/>
        <v>300</v>
      </c>
      <c r="H789" t="str">
        <f t="shared" si="37"/>
        <v>Low</v>
      </c>
      <c r="I789" t="s">
        <v>11</v>
      </c>
      <c r="L789" t="s">
        <v>24</v>
      </c>
      <c r="M789" s="3">
        <f t="shared" si="38"/>
        <v>2514250</v>
      </c>
    </row>
    <row r="790" spans="1:13" ht="15.75" x14ac:dyDescent="0.3">
      <c r="A790" s="1">
        <v>45435</v>
      </c>
      <c r="B790" t="s">
        <v>12</v>
      </c>
      <c r="C790" t="s">
        <v>6</v>
      </c>
      <c r="D790" t="s">
        <v>10</v>
      </c>
      <c r="E790">
        <v>9</v>
      </c>
      <c r="F790">
        <v>3200</v>
      </c>
      <c r="G790" s="2">
        <f t="shared" si="36"/>
        <v>28800</v>
      </c>
      <c r="H790" t="str">
        <f t="shared" si="37"/>
        <v>High</v>
      </c>
      <c r="I790" t="s">
        <v>14</v>
      </c>
      <c r="L790" t="s">
        <v>12</v>
      </c>
      <c r="M790" s="3">
        <f t="shared" si="38"/>
        <v>2865050</v>
      </c>
    </row>
    <row r="791" spans="1:13" ht="15.75" x14ac:dyDescent="0.3">
      <c r="A791" s="1">
        <v>45592</v>
      </c>
      <c r="B791" t="s">
        <v>12</v>
      </c>
      <c r="C791" t="s">
        <v>21</v>
      </c>
      <c r="D791" t="s">
        <v>18</v>
      </c>
      <c r="E791">
        <v>9</v>
      </c>
      <c r="F791">
        <v>300</v>
      </c>
      <c r="G791" s="2">
        <f t="shared" si="36"/>
        <v>2700</v>
      </c>
      <c r="H791" t="str">
        <f t="shared" si="37"/>
        <v>Low</v>
      </c>
      <c r="I791" t="s">
        <v>8</v>
      </c>
      <c r="L791" t="s">
        <v>12</v>
      </c>
      <c r="M791" s="3">
        <f t="shared" si="38"/>
        <v>2865050</v>
      </c>
    </row>
    <row r="792" spans="1:13" ht="15.75" x14ac:dyDescent="0.3">
      <c r="A792" s="1">
        <v>45587</v>
      </c>
      <c r="B792" t="s">
        <v>23</v>
      </c>
      <c r="C792" t="s">
        <v>6</v>
      </c>
      <c r="D792" t="s">
        <v>20</v>
      </c>
      <c r="E792">
        <v>10</v>
      </c>
      <c r="F792">
        <v>3200</v>
      </c>
      <c r="G792" s="2">
        <f t="shared" si="36"/>
        <v>32000</v>
      </c>
      <c r="H792" t="str">
        <f t="shared" si="37"/>
        <v>High</v>
      </c>
      <c r="I792" t="s">
        <v>8</v>
      </c>
      <c r="L792" t="s">
        <v>23</v>
      </c>
      <c r="M792" s="3">
        <f t="shared" si="38"/>
        <v>2202100</v>
      </c>
    </row>
    <row r="793" spans="1:13" ht="15.75" x14ac:dyDescent="0.3">
      <c r="A793" s="1">
        <v>45389</v>
      </c>
      <c r="B793" t="s">
        <v>15</v>
      </c>
      <c r="C793" t="s">
        <v>13</v>
      </c>
      <c r="D793" t="s">
        <v>10</v>
      </c>
      <c r="E793">
        <v>1</v>
      </c>
      <c r="F793">
        <v>8500</v>
      </c>
      <c r="G793" s="2">
        <f t="shared" si="36"/>
        <v>8500</v>
      </c>
      <c r="H793" t="str">
        <f t="shared" si="37"/>
        <v>Low</v>
      </c>
      <c r="I793" t="s">
        <v>14</v>
      </c>
      <c r="L793" t="s">
        <v>15</v>
      </c>
      <c r="M793" s="3">
        <f t="shared" si="38"/>
        <v>2145050</v>
      </c>
    </row>
    <row r="794" spans="1:13" ht="15.75" x14ac:dyDescent="0.3">
      <c r="A794" s="1">
        <v>45483</v>
      </c>
      <c r="B794" t="s">
        <v>19</v>
      </c>
      <c r="C794" t="s">
        <v>13</v>
      </c>
      <c r="D794" t="s">
        <v>10</v>
      </c>
      <c r="E794">
        <v>6</v>
      </c>
      <c r="F794">
        <v>300</v>
      </c>
      <c r="G794" s="2">
        <f t="shared" si="36"/>
        <v>1800</v>
      </c>
      <c r="H794" t="str">
        <f t="shared" si="37"/>
        <v>Low</v>
      </c>
      <c r="I794" t="s">
        <v>8</v>
      </c>
      <c r="L794" t="s">
        <v>19</v>
      </c>
      <c r="M794" s="3">
        <f t="shared" si="38"/>
        <v>2179300</v>
      </c>
    </row>
    <row r="795" spans="1:13" ht="15.75" x14ac:dyDescent="0.3">
      <c r="A795" s="1">
        <v>45397</v>
      </c>
      <c r="B795" t="s">
        <v>9</v>
      </c>
      <c r="C795" t="s">
        <v>13</v>
      </c>
      <c r="D795" t="s">
        <v>7</v>
      </c>
      <c r="E795">
        <v>10</v>
      </c>
      <c r="F795">
        <v>300</v>
      </c>
      <c r="G795" s="2">
        <f t="shared" si="36"/>
        <v>3000</v>
      </c>
      <c r="H795" t="str">
        <f t="shared" si="37"/>
        <v>Low</v>
      </c>
      <c r="I795" t="s">
        <v>8</v>
      </c>
      <c r="L795" t="s">
        <v>9</v>
      </c>
      <c r="M795" s="3">
        <f t="shared" si="38"/>
        <v>1849750</v>
      </c>
    </row>
    <row r="796" spans="1:13" ht="15.75" x14ac:dyDescent="0.3">
      <c r="A796" s="1">
        <v>45558</v>
      </c>
      <c r="B796" t="s">
        <v>23</v>
      </c>
      <c r="C796" t="s">
        <v>16</v>
      </c>
      <c r="D796" t="s">
        <v>18</v>
      </c>
      <c r="E796">
        <v>5</v>
      </c>
      <c r="F796">
        <v>150</v>
      </c>
      <c r="G796" s="2">
        <f t="shared" si="36"/>
        <v>750</v>
      </c>
      <c r="H796" t="str">
        <f t="shared" si="37"/>
        <v>Low</v>
      </c>
      <c r="I796" t="s">
        <v>11</v>
      </c>
      <c r="L796" t="s">
        <v>23</v>
      </c>
      <c r="M796" s="3">
        <f t="shared" si="38"/>
        <v>2202100</v>
      </c>
    </row>
    <row r="797" spans="1:13" ht="15.75" x14ac:dyDescent="0.3">
      <c r="A797" s="1">
        <v>45360</v>
      </c>
      <c r="B797" t="s">
        <v>15</v>
      </c>
      <c r="C797" t="s">
        <v>21</v>
      </c>
      <c r="D797" t="s">
        <v>20</v>
      </c>
      <c r="E797">
        <v>6</v>
      </c>
      <c r="F797">
        <v>3200</v>
      </c>
      <c r="G797" s="2">
        <f t="shared" si="36"/>
        <v>19200</v>
      </c>
      <c r="H797" t="str">
        <f t="shared" si="37"/>
        <v>High</v>
      </c>
      <c r="I797" t="s">
        <v>8</v>
      </c>
      <c r="L797" t="s">
        <v>15</v>
      </c>
      <c r="M797" s="3">
        <f t="shared" si="38"/>
        <v>2145050</v>
      </c>
    </row>
    <row r="798" spans="1:13" ht="15.75" x14ac:dyDescent="0.3">
      <c r="A798" s="1">
        <v>45418</v>
      </c>
      <c r="B798" t="s">
        <v>24</v>
      </c>
      <c r="C798" t="s">
        <v>13</v>
      </c>
      <c r="D798" t="s">
        <v>7</v>
      </c>
      <c r="E798">
        <v>10</v>
      </c>
      <c r="F798">
        <v>8500</v>
      </c>
      <c r="G798" s="2">
        <f t="shared" si="36"/>
        <v>85000</v>
      </c>
      <c r="H798" t="str">
        <f t="shared" si="37"/>
        <v>High</v>
      </c>
      <c r="I798" t="s">
        <v>14</v>
      </c>
      <c r="L798" t="s">
        <v>24</v>
      </c>
      <c r="M798" s="3">
        <f t="shared" si="38"/>
        <v>2514250</v>
      </c>
    </row>
    <row r="799" spans="1:13" ht="15.75" x14ac:dyDescent="0.3">
      <c r="A799" s="1">
        <v>45338</v>
      </c>
      <c r="B799" t="s">
        <v>15</v>
      </c>
      <c r="C799" t="s">
        <v>16</v>
      </c>
      <c r="D799" t="s">
        <v>7</v>
      </c>
      <c r="E799">
        <v>1</v>
      </c>
      <c r="F799">
        <v>150</v>
      </c>
      <c r="G799" s="2">
        <f t="shared" si="36"/>
        <v>150</v>
      </c>
      <c r="H799" t="str">
        <f t="shared" si="37"/>
        <v>Low</v>
      </c>
      <c r="I799" t="s">
        <v>11</v>
      </c>
      <c r="L799" t="s">
        <v>15</v>
      </c>
      <c r="M799" s="3">
        <f t="shared" si="38"/>
        <v>2145050</v>
      </c>
    </row>
    <row r="800" spans="1:13" ht="15.75" x14ac:dyDescent="0.3">
      <c r="A800" s="1">
        <v>45415</v>
      </c>
      <c r="B800" t="s">
        <v>9</v>
      </c>
      <c r="C800" t="s">
        <v>22</v>
      </c>
      <c r="D800" t="s">
        <v>17</v>
      </c>
      <c r="E800">
        <v>1</v>
      </c>
      <c r="F800">
        <v>150</v>
      </c>
      <c r="G800" s="2">
        <f t="shared" si="36"/>
        <v>150</v>
      </c>
      <c r="H800" t="str">
        <f t="shared" si="37"/>
        <v>Low</v>
      </c>
      <c r="I800" t="s">
        <v>11</v>
      </c>
      <c r="L800" t="s">
        <v>9</v>
      </c>
      <c r="M800" s="3">
        <f t="shared" si="38"/>
        <v>1849750</v>
      </c>
    </row>
    <row r="801" spans="1:13" ht="15.75" x14ac:dyDescent="0.3">
      <c r="A801" s="1">
        <v>45305</v>
      </c>
      <c r="B801" t="s">
        <v>19</v>
      </c>
      <c r="C801" t="s">
        <v>16</v>
      </c>
      <c r="D801" t="s">
        <v>7</v>
      </c>
      <c r="E801">
        <v>2</v>
      </c>
      <c r="F801">
        <v>4500</v>
      </c>
      <c r="G801" s="2">
        <f t="shared" si="36"/>
        <v>9000</v>
      </c>
      <c r="H801" t="str">
        <f t="shared" si="37"/>
        <v>Low</v>
      </c>
      <c r="I801" t="s">
        <v>14</v>
      </c>
      <c r="L801" t="s">
        <v>19</v>
      </c>
      <c r="M801" s="3">
        <f t="shared" si="38"/>
        <v>2179300</v>
      </c>
    </row>
    <row r="802" spans="1:13" ht="15.75" x14ac:dyDescent="0.3">
      <c r="A802" s="1">
        <v>45439</v>
      </c>
      <c r="B802" t="s">
        <v>26</v>
      </c>
      <c r="C802" t="s">
        <v>21</v>
      </c>
      <c r="D802" t="s">
        <v>7</v>
      </c>
      <c r="E802">
        <v>8</v>
      </c>
      <c r="F802">
        <v>150</v>
      </c>
      <c r="G802" s="2">
        <f t="shared" si="36"/>
        <v>1200</v>
      </c>
      <c r="H802" t="str">
        <f t="shared" si="37"/>
        <v>Low</v>
      </c>
      <c r="I802" t="s">
        <v>14</v>
      </c>
      <c r="L802" t="s">
        <v>26</v>
      </c>
      <c r="M802" s="3">
        <f t="shared" si="38"/>
        <v>2430500</v>
      </c>
    </row>
    <row r="803" spans="1:13" ht="15.75" x14ac:dyDescent="0.3">
      <c r="A803" s="1">
        <v>45342</v>
      </c>
      <c r="B803" t="s">
        <v>25</v>
      </c>
      <c r="C803" t="s">
        <v>21</v>
      </c>
      <c r="D803" t="s">
        <v>17</v>
      </c>
      <c r="E803">
        <v>9</v>
      </c>
      <c r="F803">
        <v>150</v>
      </c>
      <c r="G803" s="2">
        <f t="shared" si="36"/>
        <v>1350</v>
      </c>
      <c r="H803" t="str">
        <f t="shared" si="37"/>
        <v>Low</v>
      </c>
      <c r="I803" t="s">
        <v>11</v>
      </c>
      <c r="L803" t="s">
        <v>25</v>
      </c>
      <c r="M803" s="3">
        <f t="shared" si="38"/>
        <v>2243250</v>
      </c>
    </row>
    <row r="804" spans="1:13" ht="15.75" x14ac:dyDescent="0.3">
      <c r="A804" s="1">
        <v>45387</v>
      </c>
      <c r="B804" t="s">
        <v>12</v>
      </c>
      <c r="C804" t="s">
        <v>16</v>
      </c>
      <c r="D804" t="s">
        <v>20</v>
      </c>
      <c r="E804">
        <v>10</v>
      </c>
      <c r="F804">
        <v>4500</v>
      </c>
      <c r="G804" s="2">
        <f t="shared" si="36"/>
        <v>45000</v>
      </c>
      <c r="H804" t="str">
        <f t="shared" si="37"/>
        <v>High</v>
      </c>
      <c r="I804" t="s">
        <v>14</v>
      </c>
      <c r="L804" t="s">
        <v>12</v>
      </c>
      <c r="M804" s="3">
        <f t="shared" si="38"/>
        <v>2865050</v>
      </c>
    </row>
    <row r="805" spans="1:13" ht="15.75" x14ac:dyDescent="0.3">
      <c r="A805" s="1">
        <v>45354</v>
      </c>
      <c r="B805" t="s">
        <v>12</v>
      </c>
      <c r="C805" t="s">
        <v>13</v>
      </c>
      <c r="D805" t="s">
        <v>17</v>
      </c>
      <c r="E805">
        <v>10</v>
      </c>
      <c r="F805">
        <v>8500</v>
      </c>
      <c r="G805" s="2">
        <f t="shared" si="36"/>
        <v>85000</v>
      </c>
      <c r="H805" t="str">
        <f t="shared" si="37"/>
        <v>High</v>
      </c>
      <c r="I805" t="s">
        <v>8</v>
      </c>
      <c r="L805" t="s">
        <v>12</v>
      </c>
      <c r="M805" s="3">
        <f t="shared" si="38"/>
        <v>2865050</v>
      </c>
    </row>
    <row r="806" spans="1:13" ht="15.75" x14ac:dyDescent="0.3">
      <c r="A806" s="1">
        <v>45309</v>
      </c>
      <c r="B806" t="s">
        <v>26</v>
      </c>
      <c r="C806" t="s">
        <v>13</v>
      </c>
      <c r="D806" t="s">
        <v>7</v>
      </c>
      <c r="E806">
        <v>9</v>
      </c>
      <c r="F806">
        <v>4500</v>
      </c>
      <c r="G806" s="2">
        <f t="shared" si="36"/>
        <v>40500</v>
      </c>
      <c r="H806" t="str">
        <f t="shared" si="37"/>
        <v>High</v>
      </c>
      <c r="I806" t="s">
        <v>11</v>
      </c>
      <c r="L806" t="s">
        <v>26</v>
      </c>
      <c r="M806" s="3">
        <f t="shared" si="38"/>
        <v>2430500</v>
      </c>
    </row>
    <row r="807" spans="1:13" ht="15.75" x14ac:dyDescent="0.3">
      <c r="A807" s="1">
        <v>45460</v>
      </c>
      <c r="B807" t="s">
        <v>19</v>
      </c>
      <c r="C807" t="s">
        <v>16</v>
      </c>
      <c r="D807" t="s">
        <v>18</v>
      </c>
      <c r="E807">
        <v>10</v>
      </c>
      <c r="F807">
        <v>150</v>
      </c>
      <c r="G807" s="2">
        <f t="shared" si="36"/>
        <v>1500</v>
      </c>
      <c r="H807" t="str">
        <f t="shared" si="37"/>
        <v>Low</v>
      </c>
      <c r="I807" t="s">
        <v>11</v>
      </c>
      <c r="L807" t="s">
        <v>19</v>
      </c>
      <c r="M807" s="3">
        <f t="shared" si="38"/>
        <v>2179300</v>
      </c>
    </row>
    <row r="808" spans="1:13" ht="15.75" x14ac:dyDescent="0.3">
      <c r="A808" s="1">
        <v>45624</v>
      </c>
      <c r="B808" t="s">
        <v>19</v>
      </c>
      <c r="C808" t="s">
        <v>16</v>
      </c>
      <c r="D808" t="s">
        <v>18</v>
      </c>
      <c r="E808">
        <v>8</v>
      </c>
      <c r="F808">
        <v>3200</v>
      </c>
      <c r="G808" s="2">
        <f t="shared" si="36"/>
        <v>25600</v>
      </c>
      <c r="H808" t="str">
        <f t="shared" si="37"/>
        <v>High</v>
      </c>
      <c r="I808" t="s">
        <v>14</v>
      </c>
      <c r="L808" t="s">
        <v>19</v>
      </c>
      <c r="M808" s="3">
        <f t="shared" si="38"/>
        <v>2179300</v>
      </c>
    </row>
    <row r="809" spans="1:13" ht="15.75" x14ac:dyDescent="0.3">
      <c r="A809" s="1">
        <v>45618</v>
      </c>
      <c r="B809" t="s">
        <v>25</v>
      </c>
      <c r="C809" t="s">
        <v>13</v>
      </c>
      <c r="D809" t="s">
        <v>17</v>
      </c>
      <c r="E809">
        <v>10</v>
      </c>
      <c r="F809">
        <v>3200</v>
      </c>
      <c r="G809" s="2">
        <f t="shared" si="36"/>
        <v>32000</v>
      </c>
      <c r="H809" t="str">
        <f t="shared" si="37"/>
        <v>High</v>
      </c>
      <c r="I809" t="s">
        <v>14</v>
      </c>
      <c r="L809" t="s">
        <v>25</v>
      </c>
      <c r="M809" s="3">
        <f t="shared" si="38"/>
        <v>2243250</v>
      </c>
    </row>
    <row r="810" spans="1:13" ht="15.75" x14ac:dyDescent="0.3">
      <c r="A810" s="1">
        <v>45536</v>
      </c>
      <c r="B810" t="s">
        <v>23</v>
      </c>
      <c r="C810" t="s">
        <v>6</v>
      </c>
      <c r="D810" t="s">
        <v>20</v>
      </c>
      <c r="E810">
        <v>2</v>
      </c>
      <c r="F810">
        <v>4500</v>
      </c>
      <c r="G810" s="2">
        <f t="shared" si="36"/>
        <v>9000</v>
      </c>
      <c r="H810" t="str">
        <f t="shared" si="37"/>
        <v>Low</v>
      </c>
      <c r="I810" t="s">
        <v>8</v>
      </c>
      <c r="L810" t="s">
        <v>23</v>
      </c>
      <c r="M810" s="3">
        <f t="shared" si="38"/>
        <v>2202100</v>
      </c>
    </row>
    <row r="811" spans="1:13" ht="15.75" x14ac:dyDescent="0.3">
      <c r="A811" s="1">
        <v>45497</v>
      </c>
      <c r="B811" t="s">
        <v>25</v>
      </c>
      <c r="C811" t="s">
        <v>21</v>
      </c>
      <c r="D811" t="s">
        <v>10</v>
      </c>
      <c r="E811">
        <v>7</v>
      </c>
      <c r="F811">
        <v>8500</v>
      </c>
      <c r="G811" s="2">
        <f t="shared" si="36"/>
        <v>59500</v>
      </c>
      <c r="H811" t="str">
        <f t="shared" si="37"/>
        <v>High</v>
      </c>
      <c r="I811" t="s">
        <v>14</v>
      </c>
      <c r="L811" t="s">
        <v>25</v>
      </c>
      <c r="M811" s="3">
        <f t="shared" si="38"/>
        <v>2243250</v>
      </c>
    </row>
    <row r="812" spans="1:13" ht="15.75" x14ac:dyDescent="0.3">
      <c r="A812" s="1">
        <v>45610</v>
      </c>
      <c r="B812" t="s">
        <v>26</v>
      </c>
      <c r="C812" t="s">
        <v>6</v>
      </c>
      <c r="D812" t="s">
        <v>18</v>
      </c>
      <c r="E812">
        <v>3</v>
      </c>
      <c r="F812">
        <v>300</v>
      </c>
      <c r="G812" s="2">
        <f t="shared" si="36"/>
        <v>900</v>
      </c>
      <c r="H812" t="str">
        <f t="shared" si="37"/>
        <v>Low</v>
      </c>
      <c r="I812" t="s">
        <v>11</v>
      </c>
      <c r="L812" t="s">
        <v>26</v>
      </c>
      <c r="M812" s="3">
        <f t="shared" si="38"/>
        <v>2430500</v>
      </c>
    </row>
    <row r="813" spans="1:13" ht="15.75" x14ac:dyDescent="0.3">
      <c r="A813" s="1">
        <v>45396</v>
      </c>
      <c r="B813" t="s">
        <v>26</v>
      </c>
      <c r="C813" t="s">
        <v>6</v>
      </c>
      <c r="D813" t="s">
        <v>17</v>
      </c>
      <c r="E813">
        <v>9</v>
      </c>
      <c r="F813">
        <v>3200</v>
      </c>
      <c r="G813" s="2">
        <f t="shared" si="36"/>
        <v>28800</v>
      </c>
      <c r="H813" t="str">
        <f t="shared" si="37"/>
        <v>High</v>
      </c>
      <c r="I813" t="s">
        <v>14</v>
      </c>
      <c r="L813" t="s">
        <v>26</v>
      </c>
      <c r="M813" s="3">
        <f t="shared" si="38"/>
        <v>2430500</v>
      </c>
    </row>
    <row r="814" spans="1:13" ht="15.75" x14ac:dyDescent="0.3">
      <c r="A814" s="1">
        <v>45649</v>
      </c>
      <c r="B814" t="s">
        <v>15</v>
      </c>
      <c r="C814" t="s">
        <v>21</v>
      </c>
      <c r="D814" t="s">
        <v>17</v>
      </c>
      <c r="E814">
        <v>6</v>
      </c>
      <c r="F814">
        <v>4500</v>
      </c>
      <c r="G814" s="2">
        <f t="shared" si="36"/>
        <v>27000</v>
      </c>
      <c r="H814" t="str">
        <f t="shared" si="37"/>
        <v>High</v>
      </c>
      <c r="I814" t="s">
        <v>11</v>
      </c>
      <c r="L814" t="s">
        <v>15</v>
      </c>
      <c r="M814" s="3">
        <f t="shared" si="38"/>
        <v>2145050</v>
      </c>
    </row>
    <row r="815" spans="1:13" ht="15.75" x14ac:dyDescent="0.3">
      <c r="A815" s="1">
        <v>45516</v>
      </c>
      <c r="B815" t="s">
        <v>19</v>
      </c>
      <c r="C815" t="s">
        <v>6</v>
      </c>
      <c r="D815" t="s">
        <v>18</v>
      </c>
      <c r="E815">
        <v>6</v>
      </c>
      <c r="F815">
        <v>4500</v>
      </c>
      <c r="G815" s="2">
        <f t="shared" si="36"/>
        <v>27000</v>
      </c>
      <c r="H815" t="str">
        <f t="shared" si="37"/>
        <v>High</v>
      </c>
      <c r="I815" t="s">
        <v>11</v>
      </c>
      <c r="L815" t="s">
        <v>19</v>
      </c>
      <c r="M815" s="3">
        <f t="shared" si="38"/>
        <v>2179300</v>
      </c>
    </row>
    <row r="816" spans="1:13" ht="15.75" x14ac:dyDescent="0.3">
      <c r="A816" s="1">
        <v>45398</v>
      </c>
      <c r="B816" t="s">
        <v>25</v>
      </c>
      <c r="C816" t="s">
        <v>13</v>
      </c>
      <c r="D816" t="s">
        <v>20</v>
      </c>
      <c r="E816">
        <v>2</v>
      </c>
      <c r="F816">
        <v>3200</v>
      </c>
      <c r="G816" s="2">
        <f t="shared" si="36"/>
        <v>6400</v>
      </c>
      <c r="H816" t="str">
        <f t="shared" si="37"/>
        <v>Low</v>
      </c>
      <c r="I816" t="s">
        <v>8</v>
      </c>
      <c r="L816" t="s">
        <v>25</v>
      </c>
      <c r="M816" s="3">
        <f t="shared" si="38"/>
        <v>2243250</v>
      </c>
    </row>
    <row r="817" spans="1:13" ht="15.75" x14ac:dyDescent="0.3">
      <c r="A817" s="1">
        <v>45647</v>
      </c>
      <c r="B817" t="s">
        <v>19</v>
      </c>
      <c r="C817" t="s">
        <v>13</v>
      </c>
      <c r="D817" t="s">
        <v>10</v>
      </c>
      <c r="E817">
        <v>10</v>
      </c>
      <c r="F817">
        <v>8500</v>
      </c>
      <c r="G817" s="2">
        <f t="shared" si="36"/>
        <v>85000</v>
      </c>
      <c r="H817" t="str">
        <f t="shared" si="37"/>
        <v>High</v>
      </c>
      <c r="I817" t="s">
        <v>14</v>
      </c>
      <c r="L817" t="s">
        <v>19</v>
      </c>
      <c r="M817" s="3">
        <f t="shared" si="38"/>
        <v>2179300</v>
      </c>
    </row>
    <row r="818" spans="1:13" ht="15.75" x14ac:dyDescent="0.3">
      <c r="A818" s="1">
        <v>45296</v>
      </c>
      <c r="B818" t="s">
        <v>25</v>
      </c>
      <c r="C818" t="s">
        <v>22</v>
      </c>
      <c r="D818" t="s">
        <v>17</v>
      </c>
      <c r="E818">
        <v>7</v>
      </c>
      <c r="F818">
        <v>300</v>
      </c>
      <c r="G818" s="2">
        <f t="shared" si="36"/>
        <v>2100</v>
      </c>
      <c r="H818" t="str">
        <f t="shared" si="37"/>
        <v>Low</v>
      </c>
      <c r="I818" t="s">
        <v>8</v>
      </c>
      <c r="L818" t="s">
        <v>25</v>
      </c>
      <c r="M818" s="3">
        <f t="shared" si="38"/>
        <v>2243250</v>
      </c>
    </row>
    <row r="819" spans="1:13" ht="15.75" x14ac:dyDescent="0.3">
      <c r="A819" s="1">
        <v>45502</v>
      </c>
      <c r="B819" t="s">
        <v>9</v>
      </c>
      <c r="C819" t="s">
        <v>21</v>
      </c>
      <c r="D819" t="s">
        <v>18</v>
      </c>
      <c r="E819">
        <v>2</v>
      </c>
      <c r="F819">
        <v>4500</v>
      </c>
      <c r="G819" s="2">
        <f t="shared" si="36"/>
        <v>9000</v>
      </c>
      <c r="H819" t="str">
        <f t="shared" si="37"/>
        <v>Low</v>
      </c>
      <c r="I819" t="s">
        <v>14</v>
      </c>
      <c r="L819" t="s">
        <v>9</v>
      </c>
      <c r="M819" s="3">
        <f t="shared" si="38"/>
        <v>1849750</v>
      </c>
    </row>
    <row r="820" spans="1:13" ht="15.75" x14ac:dyDescent="0.3">
      <c r="A820" s="1">
        <v>45615</v>
      </c>
      <c r="B820" t="s">
        <v>15</v>
      </c>
      <c r="C820" t="s">
        <v>16</v>
      </c>
      <c r="D820" t="s">
        <v>20</v>
      </c>
      <c r="E820">
        <v>3</v>
      </c>
      <c r="F820">
        <v>3200</v>
      </c>
      <c r="G820" s="2">
        <f t="shared" si="36"/>
        <v>9600</v>
      </c>
      <c r="H820" t="str">
        <f t="shared" si="37"/>
        <v>Low</v>
      </c>
      <c r="I820" t="s">
        <v>8</v>
      </c>
      <c r="L820" t="s">
        <v>15</v>
      </c>
      <c r="M820" s="3">
        <f t="shared" si="38"/>
        <v>2145050</v>
      </c>
    </row>
    <row r="821" spans="1:13" ht="15.75" x14ac:dyDescent="0.3">
      <c r="A821" s="1">
        <v>45356</v>
      </c>
      <c r="B821" t="s">
        <v>9</v>
      </c>
      <c r="C821" t="s">
        <v>13</v>
      </c>
      <c r="D821" t="s">
        <v>18</v>
      </c>
      <c r="E821">
        <v>6</v>
      </c>
      <c r="F821">
        <v>8500</v>
      </c>
      <c r="G821" s="2">
        <f t="shared" si="36"/>
        <v>51000</v>
      </c>
      <c r="H821" t="str">
        <f t="shared" si="37"/>
        <v>High</v>
      </c>
      <c r="I821" t="s">
        <v>14</v>
      </c>
      <c r="L821" t="s">
        <v>9</v>
      </c>
      <c r="M821" s="3">
        <f t="shared" si="38"/>
        <v>1849750</v>
      </c>
    </row>
    <row r="822" spans="1:13" ht="15.75" x14ac:dyDescent="0.3">
      <c r="A822" s="1">
        <v>45449</v>
      </c>
      <c r="B822" t="s">
        <v>12</v>
      </c>
      <c r="C822" t="s">
        <v>13</v>
      </c>
      <c r="D822" t="s">
        <v>10</v>
      </c>
      <c r="E822">
        <v>7</v>
      </c>
      <c r="F822">
        <v>3200</v>
      </c>
      <c r="G822" s="2">
        <f t="shared" si="36"/>
        <v>22400</v>
      </c>
      <c r="H822" t="str">
        <f t="shared" si="37"/>
        <v>High</v>
      </c>
      <c r="I822" t="s">
        <v>11</v>
      </c>
      <c r="L822" t="s">
        <v>12</v>
      </c>
      <c r="M822" s="3">
        <f t="shared" si="38"/>
        <v>2865050</v>
      </c>
    </row>
    <row r="823" spans="1:13" ht="15.75" x14ac:dyDescent="0.3">
      <c r="A823" s="1">
        <v>45607</v>
      </c>
      <c r="B823" t="s">
        <v>24</v>
      </c>
      <c r="C823" t="s">
        <v>6</v>
      </c>
      <c r="D823" t="s">
        <v>17</v>
      </c>
      <c r="E823">
        <v>6</v>
      </c>
      <c r="F823">
        <v>300</v>
      </c>
      <c r="G823" s="2">
        <f t="shared" si="36"/>
        <v>1800</v>
      </c>
      <c r="H823" t="str">
        <f t="shared" si="37"/>
        <v>Low</v>
      </c>
      <c r="I823" t="s">
        <v>14</v>
      </c>
      <c r="L823" t="s">
        <v>24</v>
      </c>
      <c r="M823" s="3">
        <f t="shared" si="38"/>
        <v>2514250</v>
      </c>
    </row>
    <row r="824" spans="1:13" ht="15.75" x14ac:dyDescent="0.3">
      <c r="A824" s="1">
        <v>45550</v>
      </c>
      <c r="B824" t="s">
        <v>26</v>
      </c>
      <c r="C824" t="s">
        <v>16</v>
      </c>
      <c r="D824" t="s">
        <v>20</v>
      </c>
      <c r="E824">
        <v>5</v>
      </c>
      <c r="F824">
        <v>4500</v>
      </c>
      <c r="G824" s="2">
        <f t="shared" si="36"/>
        <v>22500</v>
      </c>
      <c r="H824" t="str">
        <f t="shared" si="37"/>
        <v>High</v>
      </c>
      <c r="I824" t="s">
        <v>11</v>
      </c>
      <c r="L824" t="s">
        <v>26</v>
      </c>
      <c r="M824" s="3">
        <f t="shared" si="38"/>
        <v>2430500</v>
      </c>
    </row>
    <row r="825" spans="1:13" ht="15.75" x14ac:dyDescent="0.3">
      <c r="A825" s="1">
        <v>45327</v>
      </c>
      <c r="B825" t="s">
        <v>24</v>
      </c>
      <c r="C825" t="s">
        <v>6</v>
      </c>
      <c r="D825" t="s">
        <v>18</v>
      </c>
      <c r="E825">
        <v>3</v>
      </c>
      <c r="F825">
        <v>8500</v>
      </c>
      <c r="G825" s="2">
        <f t="shared" si="36"/>
        <v>25500</v>
      </c>
      <c r="H825" t="str">
        <f t="shared" si="37"/>
        <v>High</v>
      </c>
      <c r="I825" t="s">
        <v>14</v>
      </c>
      <c r="L825" t="s">
        <v>24</v>
      </c>
      <c r="M825" s="3">
        <f t="shared" si="38"/>
        <v>2514250</v>
      </c>
    </row>
    <row r="826" spans="1:13" ht="15.75" x14ac:dyDescent="0.3">
      <c r="A826" s="1">
        <v>45525</v>
      </c>
      <c r="B826" t="s">
        <v>15</v>
      </c>
      <c r="C826" t="s">
        <v>13</v>
      </c>
      <c r="D826" t="s">
        <v>20</v>
      </c>
      <c r="E826">
        <v>3</v>
      </c>
      <c r="F826">
        <v>3200</v>
      </c>
      <c r="G826" s="2">
        <f t="shared" si="36"/>
        <v>9600</v>
      </c>
      <c r="H826" t="str">
        <f t="shared" si="37"/>
        <v>Low</v>
      </c>
      <c r="I826" t="s">
        <v>11</v>
      </c>
      <c r="L826" t="s">
        <v>15</v>
      </c>
      <c r="M826" s="3">
        <f t="shared" si="38"/>
        <v>2145050</v>
      </c>
    </row>
    <row r="827" spans="1:13" ht="15.75" x14ac:dyDescent="0.3">
      <c r="A827" s="1">
        <v>45433</v>
      </c>
      <c r="B827" t="s">
        <v>24</v>
      </c>
      <c r="C827" t="s">
        <v>22</v>
      </c>
      <c r="D827" t="s">
        <v>7</v>
      </c>
      <c r="E827">
        <v>1</v>
      </c>
      <c r="F827">
        <v>8500</v>
      </c>
      <c r="G827" s="2">
        <f t="shared" si="36"/>
        <v>8500</v>
      </c>
      <c r="H827" t="str">
        <f t="shared" si="37"/>
        <v>Low</v>
      </c>
      <c r="I827" t="s">
        <v>14</v>
      </c>
      <c r="L827" t="s">
        <v>24</v>
      </c>
      <c r="M827" s="3">
        <f t="shared" si="38"/>
        <v>2514250</v>
      </c>
    </row>
    <row r="828" spans="1:13" ht="15.75" x14ac:dyDescent="0.3">
      <c r="A828" s="1">
        <v>45600</v>
      </c>
      <c r="B828" t="s">
        <v>23</v>
      </c>
      <c r="C828" t="s">
        <v>21</v>
      </c>
      <c r="D828" t="s">
        <v>7</v>
      </c>
      <c r="E828">
        <v>3</v>
      </c>
      <c r="F828">
        <v>150</v>
      </c>
      <c r="G828" s="2">
        <f t="shared" si="36"/>
        <v>450</v>
      </c>
      <c r="H828" t="str">
        <f t="shared" si="37"/>
        <v>Low</v>
      </c>
      <c r="I828" t="s">
        <v>14</v>
      </c>
      <c r="L828" t="s">
        <v>23</v>
      </c>
      <c r="M828" s="3">
        <f t="shared" si="38"/>
        <v>2202100</v>
      </c>
    </row>
    <row r="829" spans="1:13" ht="15.75" x14ac:dyDescent="0.3">
      <c r="A829" s="1">
        <v>45404</v>
      </c>
      <c r="B829" t="s">
        <v>12</v>
      </c>
      <c r="C829" t="s">
        <v>21</v>
      </c>
      <c r="D829" t="s">
        <v>20</v>
      </c>
      <c r="E829">
        <v>5</v>
      </c>
      <c r="F829">
        <v>150</v>
      </c>
      <c r="G829" s="2">
        <f t="shared" si="36"/>
        <v>750</v>
      </c>
      <c r="H829" t="str">
        <f t="shared" si="37"/>
        <v>Low</v>
      </c>
      <c r="I829" t="s">
        <v>14</v>
      </c>
      <c r="L829" t="s">
        <v>12</v>
      </c>
      <c r="M829" s="3">
        <f t="shared" si="38"/>
        <v>2865050</v>
      </c>
    </row>
    <row r="830" spans="1:13" ht="15.75" x14ac:dyDescent="0.3">
      <c r="A830" s="1">
        <v>45532</v>
      </c>
      <c r="B830" t="s">
        <v>12</v>
      </c>
      <c r="C830" t="s">
        <v>6</v>
      </c>
      <c r="D830" t="s">
        <v>20</v>
      </c>
      <c r="E830">
        <v>10</v>
      </c>
      <c r="F830">
        <v>8500</v>
      </c>
      <c r="G830" s="2">
        <f t="shared" si="36"/>
        <v>85000</v>
      </c>
      <c r="H830" t="str">
        <f t="shared" si="37"/>
        <v>High</v>
      </c>
      <c r="I830" t="s">
        <v>14</v>
      </c>
      <c r="L830" t="s">
        <v>12</v>
      </c>
      <c r="M830" s="3">
        <f t="shared" si="38"/>
        <v>2865050</v>
      </c>
    </row>
    <row r="831" spans="1:13" ht="15.75" x14ac:dyDescent="0.3">
      <c r="A831" s="1">
        <v>45413</v>
      </c>
      <c r="B831" t="s">
        <v>9</v>
      </c>
      <c r="C831" t="s">
        <v>21</v>
      </c>
      <c r="D831" t="s">
        <v>18</v>
      </c>
      <c r="E831">
        <v>2</v>
      </c>
      <c r="F831">
        <v>8500</v>
      </c>
      <c r="G831" s="2">
        <f t="shared" si="36"/>
        <v>17000</v>
      </c>
      <c r="H831" t="str">
        <f t="shared" si="37"/>
        <v>High</v>
      </c>
      <c r="I831" t="s">
        <v>8</v>
      </c>
      <c r="L831" t="s">
        <v>9</v>
      </c>
      <c r="M831" s="3">
        <f t="shared" si="38"/>
        <v>1849750</v>
      </c>
    </row>
    <row r="832" spans="1:13" ht="15.75" x14ac:dyDescent="0.3">
      <c r="A832" s="1">
        <v>45650</v>
      </c>
      <c r="B832" t="s">
        <v>26</v>
      </c>
      <c r="C832" t="s">
        <v>22</v>
      </c>
      <c r="D832" t="s">
        <v>10</v>
      </c>
      <c r="E832">
        <v>4</v>
      </c>
      <c r="F832">
        <v>3200</v>
      </c>
      <c r="G832" s="2">
        <f t="shared" si="36"/>
        <v>12800</v>
      </c>
      <c r="H832" t="str">
        <f t="shared" si="37"/>
        <v>High</v>
      </c>
      <c r="I832" t="s">
        <v>8</v>
      </c>
      <c r="L832" t="s">
        <v>26</v>
      </c>
      <c r="M832" s="3">
        <f t="shared" si="38"/>
        <v>2430500</v>
      </c>
    </row>
    <row r="833" spans="1:13" ht="15.75" x14ac:dyDescent="0.3">
      <c r="A833" s="1">
        <v>45633</v>
      </c>
      <c r="B833" t="s">
        <v>24</v>
      </c>
      <c r="C833" t="s">
        <v>21</v>
      </c>
      <c r="D833" t="s">
        <v>10</v>
      </c>
      <c r="E833">
        <v>7</v>
      </c>
      <c r="F833">
        <v>300</v>
      </c>
      <c r="G833" s="2">
        <f t="shared" si="36"/>
        <v>2100</v>
      </c>
      <c r="H833" t="str">
        <f t="shared" si="37"/>
        <v>Low</v>
      </c>
      <c r="I833" t="s">
        <v>8</v>
      </c>
      <c r="L833" t="s">
        <v>24</v>
      </c>
      <c r="M833" s="3">
        <f t="shared" si="38"/>
        <v>2514250</v>
      </c>
    </row>
    <row r="834" spans="1:13" ht="15.75" x14ac:dyDescent="0.3">
      <c r="A834" s="1">
        <v>45614</v>
      </c>
      <c r="B834" t="s">
        <v>26</v>
      </c>
      <c r="C834" t="s">
        <v>22</v>
      </c>
      <c r="D834" t="s">
        <v>7</v>
      </c>
      <c r="E834">
        <v>10</v>
      </c>
      <c r="F834">
        <v>300</v>
      </c>
      <c r="G834" s="2">
        <f t="shared" si="36"/>
        <v>3000</v>
      </c>
      <c r="H834" t="str">
        <f t="shared" si="37"/>
        <v>Low</v>
      </c>
      <c r="I834" t="s">
        <v>14</v>
      </c>
      <c r="L834" t="s">
        <v>26</v>
      </c>
      <c r="M834" s="3">
        <f t="shared" si="38"/>
        <v>2430500</v>
      </c>
    </row>
    <row r="835" spans="1:13" ht="15.75" x14ac:dyDescent="0.3">
      <c r="A835" s="1">
        <v>45473</v>
      </c>
      <c r="B835" t="s">
        <v>12</v>
      </c>
      <c r="C835" t="s">
        <v>6</v>
      </c>
      <c r="D835" t="s">
        <v>10</v>
      </c>
      <c r="E835">
        <v>3</v>
      </c>
      <c r="F835">
        <v>150</v>
      </c>
      <c r="G835" s="2">
        <f t="shared" ref="G835:G898" si="39">E835*F835</f>
        <v>450</v>
      </c>
      <c r="H835" t="str">
        <f t="shared" ref="H835:H898" si="40">IF(G835&gt;=10000,"High","Low")</f>
        <v>Low</v>
      </c>
      <c r="I835" t="s">
        <v>11</v>
      </c>
      <c r="L835" t="s">
        <v>12</v>
      </c>
      <c r="M835" s="3">
        <f t="shared" ref="M835:M898" si="41">SUMIF(B:B,L835,G:G)</f>
        <v>2865050</v>
      </c>
    </row>
    <row r="836" spans="1:13" ht="15.75" x14ac:dyDescent="0.3">
      <c r="A836" s="1">
        <v>45534</v>
      </c>
      <c r="B836" t="s">
        <v>15</v>
      </c>
      <c r="C836" t="s">
        <v>6</v>
      </c>
      <c r="D836" t="s">
        <v>10</v>
      </c>
      <c r="E836">
        <v>8</v>
      </c>
      <c r="F836">
        <v>300</v>
      </c>
      <c r="G836" s="2">
        <f t="shared" si="39"/>
        <v>2400</v>
      </c>
      <c r="H836" t="str">
        <f t="shared" si="40"/>
        <v>Low</v>
      </c>
      <c r="I836" t="s">
        <v>14</v>
      </c>
      <c r="L836" t="s">
        <v>15</v>
      </c>
      <c r="M836" s="3">
        <f t="shared" si="41"/>
        <v>2145050</v>
      </c>
    </row>
    <row r="837" spans="1:13" ht="15.75" x14ac:dyDescent="0.3">
      <c r="A837" s="1">
        <v>45296</v>
      </c>
      <c r="B837" t="s">
        <v>25</v>
      </c>
      <c r="C837" t="s">
        <v>6</v>
      </c>
      <c r="D837" t="s">
        <v>7</v>
      </c>
      <c r="E837">
        <v>2</v>
      </c>
      <c r="F837">
        <v>300</v>
      </c>
      <c r="G837" s="2">
        <f t="shared" si="39"/>
        <v>600</v>
      </c>
      <c r="H837" t="str">
        <f t="shared" si="40"/>
        <v>Low</v>
      </c>
      <c r="I837" t="s">
        <v>14</v>
      </c>
      <c r="L837" t="s">
        <v>25</v>
      </c>
      <c r="M837" s="3">
        <f t="shared" si="41"/>
        <v>2243250</v>
      </c>
    </row>
    <row r="838" spans="1:13" ht="15.75" x14ac:dyDescent="0.3">
      <c r="A838" s="1">
        <v>45493</v>
      </c>
      <c r="B838" t="s">
        <v>9</v>
      </c>
      <c r="C838" t="s">
        <v>13</v>
      </c>
      <c r="D838" t="s">
        <v>20</v>
      </c>
      <c r="E838">
        <v>4</v>
      </c>
      <c r="F838">
        <v>150</v>
      </c>
      <c r="G838" s="2">
        <f t="shared" si="39"/>
        <v>600</v>
      </c>
      <c r="H838" t="str">
        <f t="shared" si="40"/>
        <v>Low</v>
      </c>
      <c r="I838" t="s">
        <v>8</v>
      </c>
      <c r="L838" t="s">
        <v>9</v>
      </c>
      <c r="M838" s="3">
        <f t="shared" si="41"/>
        <v>1849750</v>
      </c>
    </row>
    <row r="839" spans="1:13" ht="15.75" x14ac:dyDescent="0.3">
      <c r="A839" s="1">
        <v>45523</v>
      </c>
      <c r="B839" t="s">
        <v>24</v>
      </c>
      <c r="C839" t="s">
        <v>21</v>
      </c>
      <c r="D839" t="s">
        <v>7</v>
      </c>
      <c r="E839">
        <v>9</v>
      </c>
      <c r="F839">
        <v>8500</v>
      </c>
      <c r="G839" s="2">
        <f t="shared" si="39"/>
        <v>76500</v>
      </c>
      <c r="H839" t="str">
        <f t="shared" si="40"/>
        <v>High</v>
      </c>
      <c r="I839" t="s">
        <v>8</v>
      </c>
      <c r="L839" t="s">
        <v>24</v>
      </c>
      <c r="M839" s="3">
        <f t="shared" si="41"/>
        <v>2514250</v>
      </c>
    </row>
    <row r="840" spans="1:13" ht="15.75" x14ac:dyDescent="0.3">
      <c r="A840" s="1">
        <v>45634</v>
      </c>
      <c r="B840" t="s">
        <v>24</v>
      </c>
      <c r="C840" t="s">
        <v>21</v>
      </c>
      <c r="D840" t="s">
        <v>20</v>
      </c>
      <c r="E840">
        <v>1</v>
      </c>
      <c r="F840">
        <v>150</v>
      </c>
      <c r="G840" s="2">
        <f t="shared" si="39"/>
        <v>150</v>
      </c>
      <c r="H840" t="str">
        <f t="shared" si="40"/>
        <v>Low</v>
      </c>
      <c r="I840" t="s">
        <v>14</v>
      </c>
      <c r="L840" t="s">
        <v>24</v>
      </c>
      <c r="M840" s="3">
        <f t="shared" si="41"/>
        <v>2514250</v>
      </c>
    </row>
    <row r="841" spans="1:13" ht="15.75" x14ac:dyDescent="0.3">
      <c r="A841" s="1">
        <v>45392</v>
      </c>
      <c r="B841" t="s">
        <v>25</v>
      </c>
      <c r="C841" t="s">
        <v>16</v>
      </c>
      <c r="D841" t="s">
        <v>18</v>
      </c>
      <c r="E841">
        <v>3</v>
      </c>
      <c r="F841">
        <v>8500</v>
      </c>
      <c r="G841" s="2">
        <f t="shared" si="39"/>
        <v>25500</v>
      </c>
      <c r="H841" t="str">
        <f t="shared" si="40"/>
        <v>High</v>
      </c>
      <c r="I841" t="s">
        <v>14</v>
      </c>
      <c r="L841" t="s">
        <v>25</v>
      </c>
      <c r="M841" s="3">
        <f t="shared" si="41"/>
        <v>2243250</v>
      </c>
    </row>
    <row r="842" spans="1:13" ht="15.75" x14ac:dyDescent="0.3">
      <c r="A842" s="1">
        <v>45594</v>
      </c>
      <c r="B842" t="s">
        <v>26</v>
      </c>
      <c r="C842" t="s">
        <v>6</v>
      </c>
      <c r="D842" t="s">
        <v>18</v>
      </c>
      <c r="E842">
        <v>9</v>
      </c>
      <c r="F842">
        <v>3200</v>
      </c>
      <c r="G842" s="2">
        <f t="shared" si="39"/>
        <v>28800</v>
      </c>
      <c r="H842" t="str">
        <f t="shared" si="40"/>
        <v>High</v>
      </c>
      <c r="I842" t="s">
        <v>11</v>
      </c>
      <c r="L842" t="s">
        <v>26</v>
      </c>
      <c r="M842" s="3">
        <f t="shared" si="41"/>
        <v>2430500</v>
      </c>
    </row>
    <row r="843" spans="1:13" ht="15.75" x14ac:dyDescent="0.3">
      <c r="A843" s="1">
        <v>45370</v>
      </c>
      <c r="B843" t="s">
        <v>15</v>
      </c>
      <c r="C843" t="s">
        <v>22</v>
      </c>
      <c r="D843" t="s">
        <v>20</v>
      </c>
      <c r="E843">
        <v>2</v>
      </c>
      <c r="F843">
        <v>3200</v>
      </c>
      <c r="G843" s="2">
        <f t="shared" si="39"/>
        <v>6400</v>
      </c>
      <c r="H843" t="str">
        <f t="shared" si="40"/>
        <v>Low</v>
      </c>
      <c r="I843" t="s">
        <v>14</v>
      </c>
      <c r="L843" t="s">
        <v>15</v>
      </c>
      <c r="M843" s="3">
        <f t="shared" si="41"/>
        <v>2145050</v>
      </c>
    </row>
    <row r="844" spans="1:13" ht="15.75" x14ac:dyDescent="0.3">
      <c r="A844" s="1">
        <v>45396</v>
      </c>
      <c r="B844" t="s">
        <v>26</v>
      </c>
      <c r="C844" t="s">
        <v>13</v>
      </c>
      <c r="D844" t="s">
        <v>10</v>
      </c>
      <c r="E844">
        <v>1</v>
      </c>
      <c r="F844">
        <v>8500</v>
      </c>
      <c r="G844" s="2">
        <f t="shared" si="39"/>
        <v>8500</v>
      </c>
      <c r="H844" t="str">
        <f t="shared" si="40"/>
        <v>Low</v>
      </c>
      <c r="I844" t="s">
        <v>14</v>
      </c>
      <c r="L844" t="s">
        <v>26</v>
      </c>
      <c r="M844" s="3">
        <f t="shared" si="41"/>
        <v>2430500</v>
      </c>
    </row>
    <row r="845" spans="1:13" ht="15.75" x14ac:dyDescent="0.3">
      <c r="A845" s="1">
        <v>45416</v>
      </c>
      <c r="B845" t="s">
        <v>25</v>
      </c>
      <c r="C845" t="s">
        <v>13</v>
      </c>
      <c r="D845" t="s">
        <v>18</v>
      </c>
      <c r="E845">
        <v>9</v>
      </c>
      <c r="F845">
        <v>300</v>
      </c>
      <c r="G845" s="2">
        <f t="shared" si="39"/>
        <v>2700</v>
      </c>
      <c r="H845" t="str">
        <f t="shared" si="40"/>
        <v>Low</v>
      </c>
      <c r="I845" t="s">
        <v>8</v>
      </c>
      <c r="L845" t="s">
        <v>25</v>
      </c>
      <c r="M845" s="3">
        <f t="shared" si="41"/>
        <v>2243250</v>
      </c>
    </row>
    <row r="846" spans="1:13" ht="15.75" x14ac:dyDescent="0.3">
      <c r="A846" s="1">
        <v>45552</v>
      </c>
      <c r="B846" t="s">
        <v>9</v>
      </c>
      <c r="C846" t="s">
        <v>16</v>
      </c>
      <c r="D846" t="s">
        <v>7</v>
      </c>
      <c r="E846">
        <v>2</v>
      </c>
      <c r="F846">
        <v>3200</v>
      </c>
      <c r="G846" s="2">
        <f t="shared" si="39"/>
        <v>6400</v>
      </c>
      <c r="H846" t="str">
        <f t="shared" si="40"/>
        <v>Low</v>
      </c>
      <c r="I846" t="s">
        <v>11</v>
      </c>
      <c r="L846" t="s">
        <v>9</v>
      </c>
      <c r="M846" s="3">
        <f t="shared" si="41"/>
        <v>1849750</v>
      </c>
    </row>
    <row r="847" spans="1:13" ht="15.75" x14ac:dyDescent="0.3">
      <c r="A847" s="1">
        <v>45306</v>
      </c>
      <c r="B847" t="s">
        <v>12</v>
      </c>
      <c r="C847" t="s">
        <v>6</v>
      </c>
      <c r="D847" t="s">
        <v>10</v>
      </c>
      <c r="E847">
        <v>2</v>
      </c>
      <c r="F847">
        <v>150</v>
      </c>
      <c r="G847" s="2">
        <f t="shared" si="39"/>
        <v>300</v>
      </c>
      <c r="H847" t="str">
        <f t="shared" si="40"/>
        <v>Low</v>
      </c>
      <c r="I847" t="s">
        <v>11</v>
      </c>
      <c r="L847" t="s">
        <v>12</v>
      </c>
      <c r="M847" s="3">
        <f t="shared" si="41"/>
        <v>2865050</v>
      </c>
    </row>
    <row r="848" spans="1:13" ht="15.75" x14ac:dyDescent="0.3">
      <c r="A848" s="1">
        <v>45447</v>
      </c>
      <c r="B848" t="s">
        <v>25</v>
      </c>
      <c r="C848" t="s">
        <v>13</v>
      </c>
      <c r="D848" t="s">
        <v>18</v>
      </c>
      <c r="E848">
        <v>3</v>
      </c>
      <c r="F848">
        <v>300</v>
      </c>
      <c r="G848" s="2">
        <f t="shared" si="39"/>
        <v>900</v>
      </c>
      <c r="H848" t="str">
        <f t="shared" si="40"/>
        <v>Low</v>
      </c>
      <c r="I848" t="s">
        <v>11</v>
      </c>
      <c r="L848" t="s">
        <v>25</v>
      </c>
      <c r="M848" s="3">
        <f t="shared" si="41"/>
        <v>2243250</v>
      </c>
    </row>
    <row r="849" spans="1:13" ht="15.75" x14ac:dyDescent="0.3">
      <c r="A849" s="1">
        <v>45619</v>
      </c>
      <c r="B849" t="s">
        <v>19</v>
      </c>
      <c r="C849" t="s">
        <v>22</v>
      </c>
      <c r="D849" t="s">
        <v>18</v>
      </c>
      <c r="E849">
        <v>4</v>
      </c>
      <c r="F849">
        <v>3200</v>
      </c>
      <c r="G849" s="2">
        <f t="shared" si="39"/>
        <v>12800</v>
      </c>
      <c r="H849" t="str">
        <f t="shared" si="40"/>
        <v>High</v>
      </c>
      <c r="I849" t="s">
        <v>11</v>
      </c>
      <c r="L849" t="s">
        <v>19</v>
      </c>
      <c r="M849" s="3">
        <f t="shared" si="41"/>
        <v>2179300</v>
      </c>
    </row>
    <row r="850" spans="1:13" ht="15.75" x14ac:dyDescent="0.3">
      <c r="A850" s="1">
        <v>45435</v>
      </c>
      <c r="B850" t="s">
        <v>26</v>
      </c>
      <c r="C850" t="s">
        <v>16</v>
      </c>
      <c r="D850" t="s">
        <v>17</v>
      </c>
      <c r="E850">
        <v>7</v>
      </c>
      <c r="F850">
        <v>3200</v>
      </c>
      <c r="G850" s="2">
        <f t="shared" si="39"/>
        <v>22400</v>
      </c>
      <c r="H850" t="str">
        <f t="shared" si="40"/>
        <v>High</v>
      </c>
      <c r="I850" t="s">
        <v>14</v>
      </c>
      <c r="L850" t="s">
        <v>26</v>
      </c>
      <c r="M850" s="3">
        <f t="shared" si="41"/>
        <v>2430500</v>
      </c>
    </row>
    <row r="851" spans="1:13" ht="15.75" x14ac:dyDescent="0.3">
      <c r="A851" s="1">
        <v>45317</v>
      </c>
      <c r="B851" t="s">
        <v>15</v>
      </c>
      <c r="C851" t="s">
        <v>13</v>
      </c>
      <c r="D851" t="s">
        <v>10</v>
      </c>
      <c r="E851">
        <v>3</v>
      </c>
      <c r="F851">
        <v>4500</v>
      </c>
      <c r="G851" s="2">
        <f t="shared" si="39"/>
        <v>13500</v>
      </c>
      <c r="H851" t="str">
        <f t="shared" si="40"/>
        <v>High</v>
      </c>
      <c r="I851" t="s">
        <v>8</v>
      </c>
      <c r="L851" t="s">
        <v>15</v>
      </c>
      <c r="M851" s="3">
        <f t="shared" si="41"/>
        <v>2145050</v>
      </c>
    </row>
    <row r="852" spans="1:13" ht="15.75" x14ac:dyDescent="0.3">
      <c r="A852" s="1">
        <v>45421</v>
      </c>
      <c r="B852" t="s">
        <v>19</v>
      </c>
      <c r="C852" t="s">
        <v>13</v>
      </c>
      <c r="D852" t="s">
        <v>7</v>
      </c>
      <c r="E852">
        <v>8</v>
      </c>
      <c r="F852">
        <v>300</v>
      </c>
      <c r="G852" s="2">
        <f t="shared" si="39"/>
        <v>2400</v>
      </c>
      <c r="H852" t="str">
        <f t="shared" si="40"/>
        <v>Low</v>
      </c>
      <c r="I852" t="s">
        <v>11</v>
      </c>
      <c r="L852" t="s">
        <v>19</v>
      </c>
      <c r="M852" s="3">
        <f t="shared" si="41"/>
        <v>2179300</v>
      </c>
    </row>
    <row r="853" spans="1:13" ht="15.75" x14ac:dyDescent="0.3">
      <c r="A853" s="1">
        <v>45588</v>
      </c>
      <c r="B853" t="s">
        <v>25</v>
      </c>
      <c r="C853" t="s">
        <v>21</v>
      </c>
      <c r="D853" t="s">
        <v>10</v>
      </c>
      <c r="E853">
        <v>5</v>
      </c>
      <c r="F853">
        <v>150</v>
      </c>
      <c r="G853" s="2">
        <f t="shared" si="39"/>
        <v>750</v>
      </c>
      <c r="H853" t="str">
        <f t="shared" si="40"/>
        <v>Low</v>
      </c>
      <c r="I853" t="s">
        <v>11</v>
      </c>
      <c r="L853" t="s">
        <v>25</v>
      </c>
      <c r="M853" s="3">
        <f t="shared" si="41"/>
        <v>2243250</v>
      </c>
    </row>
    <row r="854" spans="1:13" ht="15.75" x14ac:dyDescent="0.3">
      <c r="A854" s="1">
        <v>45396</v>
      </c>
      <c r="B854" t="s">
        <v>15</v>
      </c>
      <c r="C854" t="s">
        <v>16</v>
      </c>
      <c r="D854" t="s">
        <v>18</v>
      </c>
      <c r="E854">
        <v>10</v>
      </c>
      <c r="F854">
        <v>300</v>
      </c>
      <c r="G854" s="2">
        <f t="shared" si="39"/>
        <v>3000</v>
      </c>
      <c r="H854" t="str">
        <f t="shared" si="40"/>
        <v>Low</v>
      </c>
      <c r="I854" t="s">
        <v>11</v>
      </c>
      <c r="L854" t="s">
        <v>15</v>
      </c>
      <c r="M854" s="3">
        <f t="shared" si="41"/>
        <v>2145050</v>
      </c>
    </row>
    <row r="855" spans="1:13" ht="15.75" x14ac:dyDescent="0.3">
      <c r="A855" s="1">
        <v>45520</v>
      </c>
      <c r="B855" t="s">
        <v>24</v>
      </c>
      <c r="C855" t="s">
        <v>6</v>
      </c>
      <c r="D855" t="s">
        <v>10</v>
      </c>
      <c r="E855">
        <v>2</v>
      </c>
      <c r="F855">
        <v>3200</v>
      </c>
      <c r="G855" s="2">
        <f t="shared" si="39"/>
        <v>6400</v>
      </c>
      <c r="H855" t="str">
        <f t="shared" si="40"/>
        <v>Low</v>
      </c>
      <c r="I855" t="s">
        <v>8</v>
      </c>
      <c r="L855" t="s">
        <v>24</v>
      </c>
      <c r="M855" s="3">
        <f t="shared" si="41"/>
        <v>2514250</v>
      </c>
    </row>
    <row r="856" spans="1:13" ht="15.75" x14ac:dyDescent="0.3">
      <c r="A856" s="1">
        <v>45639</v>
      </c>
      <c r="B856" t="s">
        <v>25</v>
      </c>
      <c r="C856" t="s">
        <v>6</v>
      </c>
      <c r="D856" t="s">
        <v>20</v>
      </c>
      <c r="E856">
        <v>5</v>
      </c>
      <c r="F856">
        <v>300</v>
      </c>
      <c r="G856" s="2">
        <f t="shared" si="39"/>
        <v>1500</v>
      </c>
      <c r="H856" t="str">
        <f t="shared" si="40"/>
        <v>Low</v>
      </c>
      <c r="I856" t="s">
        <v>14</v>
      </c>
      <c r="L856" t="s">
        <v>25</v>
      </c>
      <c r="M856" s="3">
        <f t="shared" si="41"/>
        <v>2243250</v>
      </c>
    </row>
    <row r="857" spans="1:13" ht="15.75" x14ac:dyDescent="0.3">
      <c r="A857" s="1">
        <v>45602</v>
      </c>
      <c r="B857" t="s">
        <v>12</v>
      </c>
      <c r="C857" t="s">
        <v>13</v>
      </c>
      <c r="D857" t="s">
        <v>7</v>
      </c>
      <c r="E857">
        <v>9</v>
      </c>
      <c r="F857">
        <v>8500</v>
      </c>
      <c r="G857" s="2">
        <f t="shared" si="39"/>
        <v>76500</v>
      </c>
      <c r="H857" t="str">
        <f t="shared" si="40"/>
        <v>High</v>
      </c>
      <c r="I857" t="s">
        <v>11</v>
      </c>
      <c r="L857" t="s">
        <v>12</v>
      </c>
      <c r="M857" s="3">
        <f t="shared" si="41"/>
        <v>2865050</v>
      </c>
    </row>
    <row r="858" spans="1:13" ht="15.75" x14ac:dyDescent="0.3">
      <c r="A858" s="1">
        <v>45550</v>
      </c>
      <c r="B858" t="s">
        <v>15</v>
      </c>
      <c r="C858" t="s">
        <v>22</v>
      </c>
      <c r="D858" t="s">
        <v>20</v>
      </c>
      <c r="E858">
        <v>1</v>
      </c>
      <c r="F858">
        <v>150</v>
      </c>
      <c r="G858" s="2">
        <f t="shared" si="39"/>
        <v>150</v>
      </c>
      <c r="H858" t="str">
        <f t="shared" si="40"/>
        <v>Low</v>
      </c>
      <c r="I858" t="s">
        <v>11</v>
      </c>
      <c r="L858" t="s">
        <v>15</v>
      </c>
      <c r="M858" s="3">
        <f t="shared" si="41"/>
        <v>2145050</v>
      </c>
    </row>
    <row r="859" spans="1:13" ht="15.75" x14ac:dyDescent="0.3">
      <c r="A859" s="1">
        <v>45459</v>
      </c>
      <c r="B859" t="s">
        <v>19</v>
      </c>
      <c r="C859" t="s">
        <v>13</v>
      </c>
      <c r="D859" t="s">
        <v>20</v>
      </c>
      <c r="E859">
        <v>3</v>
      </c>
      <c r="F859">
        <v>8500</v>
      </c>
      <c r="G859" s="2">
        <f t="shared" si="39"/>
        <v>25500</v>
      </c>
      <c r="H859" t="str">
        <f t="shared" si="40"/>
        <v>High</v>
      </c>
      <c r="I859" t="s">
        <v>8</v>
      </c>
      <c r="L859" t="s">
        <v>19</v>
      </c>
      <c r="M859" s="3">
        <f t="shared" si="41"/>
        <v>2179300</v>
      </c>
    </row>
    <row r="860" spans="1:13" ht="15.75" x14ac:dyDescent="0.3">
      <c r="A860" s="1">
        <v>45388</v>
      </c>
      <c r="B860" t="s">
        <v>24</v>
      </c>
      <c r="C860" t="s">
        <v>16</v>
      </c>
      <c r="D860" t="s">
        <v>20</v>
      </c>
      <c r="E860">
        <v>2</v>
      </c>
      <c r="F860">
        <v>8500</v>
      </c>
      <c r="G860" s="2">
        <f t="shared" si="39"/>
        <v>17000</v>
      </c>
      <c r="H860" t="str">
        <f t="shared" si="40"/>
        <v>High</v>
      </c>
      <c r="I860" t="s">
        <v>8</v>
      </c>
      <c r="L860" t="s">
        <v>24</v>
      </c>
      <c r="M860" s="3">
        <f t="shared" si="41"/>
        <v>2514250</v>
      </c>
    </row>
    <row r="861" spans="1:13" ht="15.75" x14ac:dyDescent="0.3">
      <c r="A861" s="1">
        <v>45639</v>
      </c>
      <c r="B861" t="s">
        <v>25</v>
      </c>
      <c r="C861" t="s">
        <v>22</v>
      </c>
      <c r="D861" t="s">
        <v>7</v>
      </c>
      <c r="E861">
        <v>6</v>
      </c>
      <c r="F861">
        <v>8500</v>
      </c>
      <c r="G861" s="2">
        <f t="shared" si="39"/>
        <v>51000</v>
      </c>
      <c r="H861" t="str">
        <f t="shared" si="40"/>
        <v>High</v>
      </c>
      <c r="I861" t="s">
        <v>14</v>
      </c>
      <c r="L861" t="s">
        <v>25</v>
      </c>
      <c r="M861" s="3">
        <f t="shared" si="41"/>
        <v>2243250</v>
      </c>
    </row>
    <row r="862" spans="1:13" ht="15.75" x14ac:dyDescent="0.3">
      <c r="A862" s="1">
        <v>45474</v>
      </c>
      <c r="B862" t="s">
        <v>12</v>
      </c>
      <c r="C862" t="s">
        <v>16</v>
      </c>
      <c r="D862" t="s">
        <v>18</v>
      </c>
      <c r="E862">
        <v>8</v>
      </c>
      <c r="F862">
        <v>150</v>
      </c>
      <c r="G862" s="2">
        <f t="shared" si="39"/>
        <v>1200</v>
      </c>
      <c r="H862" t="str">
        <f t="shared" si="40"/>
        <v>Low</v>
      </c>
      <c r="I862" t="s">
        <v>8</v>
      </c>
      <c r="L862" t="s">
        <v>12</v>
      </c>
      <c r="M862" s="3">
        <f t="shared" si="41"/>
        <v>2865050</v>
      </c>
    </row>
    <row r="863" spans="1:13" ht="15.75" x14ac:dyDescent="0.3">
      <c r="A863" s="1">
        <v>45493</v>
      </c>
      <c r="B863" t="s">
        <v>24</v>
      </c>
      <c r="C863" t="s">
        <v>22</v>
      </c>
      <c r="D863" t="s">
        <v>10</v>
      </c>
      <c r="E863">
        <v>6</v>
      </c>
      <c r="F863">
        <v>3200</v>
      </c>
      <c r="G863" s="2">
        <f t="shared" si="39"/>
        <v>19200</v>
      </c>
      <c r="H863" t="str">
        <f t="shared" si="40"/>
        <v>High</v>
      </c>
      <c r="I863" t="s">
        <v>14</v>
      </c>
      <c r="L863" t="s">
        <v>24</v>
      </c>
      <c r="M863" s="3">
        <f t="shared" si="41"/>
        <v>2514250</v>
      </c>
    </row>
    <row r="864" spans="1:13" ht="15.75" x14ac:dyDescent="0.3">
      <c r="A864" s="1">
        <v>45411</v>
      </c>
      <c r="B864" t="s">
        <v>25</v>
      </c>
      <c r="C864" t="s">
        <v>13</v>
      </c>
      <c r="D864" t="s">
        <v>18</v>
      </c>
      <c r="E864">
        <v>4</v>
      </c>
      <c r="F864">
        <v>300</v>
      </c>
      <c r="G864" s="2">
        <f t="shared" si="39"/>
        <v>1200</v>
      </c>
      <c r="H864" t="str">
        <f t="shared" si="40"/>
        <v>Low</v>
      </c>
      <c r="I864" t="s">
        <v>14</v>
      </c>
      <c r="L864" t="s">
        <v>25</v>
      </c>
      <c r="M864" s="3">
        <f t="shared" si="41"/>
        <v>2243250</v>
      </c>
    </row>
    <row r="865" spans="1:13" ht="15.75" x14ac:dyDescent="0.3">
      <c r="A865" s="1">
        <v>45521</v>
      </c>
      <c r="B865" t="s">
        <v>19</v>
      </c>
      <c r="C865" t="s">
        <v>6</v>
      </c>
      <c r="D865" t="s">
        <v>10</v>
      </c>
      <c r="E865">
        <v>4</v>
      </c>
      <c r="F865">
        <v>3200</v>
      </c>
      <c r="G865" s="2">
        <f t="shared" si="39"/>
        <v>12800</v>
      </c>
      <c r="H865" t="str">
        <f t="shared" si="40"/>
        <v>High</v>
      </c>
      <c r="I865" t="s">
        <v>14</v>
      </c>
      <c r="L865" t="s">
        <v>19</v>
      </c>
      <c r="M865" s="3">
        <f t="shared" si="41"/>
        <v>2179300</v>
      </c>
    </row>
    <row r="866" spans="1:13" ht="15.75" x14ac:dyDescent="0.3">
      <c r="A866" s="1">
        <v>45588</v>
      </c>
      <c r="B866" t="s">
        <v>19</v>
      </c>
      <c r="C866" t="s">
        <v>6</v>
      </c>
      <c r="D866" t="s">
        <v>20</v>
      </c>
      <c r="E866">
        <v>3</v>
      </c>
      <c r="F866">
        <v>300</v>
      </c>
      <c r="G866" s="2">
        <f t="shared" si="39"/>
        <v>900</v>
      </c>
      <c r="H866" t="str">
        <f t="shared" si="40"/>
        <v>Low</v>
      </c>
      <c r="I866" t="s">
        <v>11</v>
      </c>
      <c r="L866" t="s">
        <v>19</v>
      </c>
      <c r="M866" s="3">
        <f t="shared" si="41"/>
        <v>2179300</v>
      </c>
    </row>
    <row r="867" spans="1:13" ht="15.75" x14ac:dyDescent="0.3">
      <c r="A867" s="1">
        <v>45316</v>
      </c>
      <c r="B867" t="s">
        <v>25</v>
      </c>
      <c r="C867" t="s">
        <v>6</v>
      </c>
      <c r="D867" t="s">
        <v>17</v>
      </c>
      <c r="E867">
        <v>10</v>
      </c>
      <c r="F867">
        <v>8500</v>
      </c>
      <c r="G867" s="2">
        <f t="shared" si="39"/>
        <v>85000</v>
      </c>
      <c r="H867" t="str">
        <f t="shared" si="40"/>
        <v>High</v>
      </c>
      <c r="I867" t="s">
        <v>8</v>
      </c>
      <c r="L867" t="s">
        <v>25</v>
      </c>
      <c r="M867" s="3">
        <f t="shared" si="41"/>
        <v>2243250</v>
      </c>
    </row>
    <row r="868" spans="1:13" ht="15.75" x14ac:dyDescent="0.3">
      <c r="A868" s="1">
        <v>45325</v>
      </c>
      <c r="B868" t="s">
        <v>15</v>
      </c>
      <c r="C868" t="s">
        <v>22</v>
      </c>
      <c r="D868" t="s">
        <v>20</v>
      </c>
      <c r="E868">
        <v>1</v>
      </c>
      <c r="F868">
        <v>4500</v>
      </c>
      <c r="G868" s="2">
        <f t="shared" si="39"/>
        <v>4500</v>
      </c>
      <c r="H868" t="str">
        <f t="shared" si="40"/>
        <v>Low</v>
      </c>
      <c r="I868" t="s">
        <v>8</v>
      </c>
      <c r="L868" t="s">
        <v>15</v>
      </c>
      <c r="M868" s="3">
        <f t="shared" si="41"/>
        <v>2145050</v>
      </c>
    </row>
    <row r="869" spans="1:13" ht="15.75" x14ac:dyDescent="0.3">
      <c r="A869" s="1">
        <v>45482</v>
      </c>
      <c r="B869" t="s">
        <v>12</v>
      </c>
      <c r="C869" t="s">
        <v>22</v>
      </c>
      <c r="D869" t="s">
        <v>7</v>
      </c>
      <c r="E869">
        <v>8</v>
      </c>
      <c r="F869">
        <v>8500</v>
      </c>
      <c r="G869" s="2">
        <f t="shared" si="39"/>
        <v>68000</v>
      </c>
      <c r="H869" t="str">
        <f t="shared" si="40"/>
        <v>High</v>
      </c>
      <c r="I869" t="s">
        <v>8</v>
      </c>
      <c r="L869" t="s">
        <v>12</v>
      </c>
      <c r="M869" s="3">
        <f t="shared" si="41"/>
        <v>2865050</v>
      </c>
    </row>
    <row r="870" spans="1:13" ht="15.75" x14ac:dyDescent="0.3">
      <c r="A870" s="1">
        <v>45424</v>
      </c>
      <c r="B870" t="s">
        <v>12</v>
      </c>
      <c r="C870" t="s">
        <v>22</v>
      </c>
      <c r="D870" t="s">
        <v>7</v>
      </c>
      <c r="E870">
        <v>8</v>
      </c>
      <c r="F870">
        <v>150</v>
      </c>
      <c r="G870" s="2">
        <f t="shared" si="39"/>
        <v>1200</v>
      </c>
      <c r="H870" t="str">
        <f t="shared" si="40"/>
        <v>Low</v>
      </c>
      <c r="I870" t="s">
        <v>11</v>
      </c>
      <c r="L870" t="s">
        <v>12</v>
      </c>
      <c r="M870" s="3">
        <f t="shared" si="41"/>
        <v>2865050</v>
      </c>
    </row>
    <row r="871" spans="1:13" ht="15.75" x14ac:dyDescent="0.3">
      <c r="A871" s="1">
        <v>45464</v>
      </c>
      <c r="B871" t="s">
        <v>25</v>
      </c>
      <c r="C871" t="s">
        <v>22</v>
      </c>
      <c r="D871" t="s">
        <v>7</v>
      </c>
      <c r="E871">
        <v>9</v>
      </c>
      <c r="F871">
        <v>150</v>
      </c>
      <c r="G871" s="2">
        <f t="shared" si="39"/>
        <v>1350</v>
      </c>
      <c r="H871" t="str">
        <f t="shared" si="40"/>
        <v>Low</v>
      </c>
      <c r="I871" t="s">
        <v>14</v>
      </c>
      <c r="L871" t="s">
        <v>25</v>
      </c>
      <c r="M871" s="3">
        <f t="shared" si="41"/>
        <v>2243250</v>
      </c>
    </row>
    <row r="872" spans="1:13" ht="15.75" x14ac:dyDescent="0.3">
      <c r="A872" s="1">
        <v>45605</v>
      </c>
      <c r="B872" t="s">
        <v>15</v>
      </c>
      <c r="C872" t="s">
        <v>21</v>
      </c>
      <c r="D872" t="s">
        <v>20</v>
      </c>
      <c r="E872">
        <v>6</v>
      </c>
      <c r="F872">
        <v>150</v>
      </c>
      <c r="G872" s="2">
        <f t="shared" si="39"/>
        <v>900</v>
      </c>
      <c r="H872" t="str">
        <f t="shared" si="40"/>
        <v>Low</v>
      </c>
      <c r="I872" t="s">
        <v>14</v>
      </c>
      <c r="L872" t="s">
        <v>15</v>
      </c>
      <c r="M872" s="3">
        <f t="shared" si="41"/>
        <v>2145050</v>
      </c>
    </row>
    <row r="873" spans="1:13" ht="15.75" x14ac:dyDescent="0.3">
      <c r="A873" s="1">
        <v>45486</v>
      </c>
      <c r="B873" t="s">
        <v>19</v>
      </c>
      <c r="C873" t="s">
        <v>6</v>
      </c>
      <c r="D873" t="s">
        <v>10</v>
      </c>
      <c r="E873">
        <v>9</v>
      </c>
      <c r="F873">
        <v>8500</v>
      </c>
      <c r="G873" s="2">
        <f t="shared" si="39"/>
        <v>76500</v>
      </c>
      <c r="H873" t="str">
        <f t="shared" si="40"/>
        <v>High</v>
      </c>
      <c r="I873" t="s">
        <v>11</v>
      </c>
      <c r="L873" t="s">
        <v>19</v>
      </c>
      <c r="M873" s="3">
        <f t="shared" si="41"/>
        <v>2179300</v>
      </c>
    </row>
    <row r="874" spans="1:13" ht="15.75" x14ac:dyDescent="0.3">
      <c r="A874" s="1">
        <v>45381</v>
      </c>
      <c r="B874" t="s">
        <v>24</v>
      </c>
      <c r="C874" t="s">
        <v>16</v>
      </c>
      <c r="D874" t="s">
        <v>7</v>
      </c>
      <c r="E874">
        <v>8</v>
      </c>
      <c r="F874">
        <v>300</v>
      </c>
      <c r="G874" s="2">
        <f t="shared" si="39"/>
        <v>2400</v>
      </c>
      <c r="H874" t="str">
        <f t="shared" si="40"/>
        <v>Low</v>
      </c>
      <c r="I874" t="s">
        <v>11</v>
      </c>
      <c r="L874" t="s">
        <v>24</v>
      </c>
      <c r="M874" s="3">
        <f t="shared" si="41"/>
        <v>2514250</v>
      </c>
    </row>
    <row r="875" spans="1:13" ht="15.75" x14ac:dyDescent="0.3">
      <c r="A875" s="1">
        <v>45350</v>
      </c>
      <c r="B875" t="s">
        <v>15</v>
      </c>
      <c r="C875" t="s">
        <v>16</v>
      </c>
      <c r="D875" t="s">
        <v>10</v>
      </c>
      <c r="E875">
        <v>6</v>
      </c>
      <c r="F875">
        <v>150</v>
      </c>
      <c r="G875" s="2">
        <f t="shared" si="39"/>
        <v>900</v>
      </c>
      <c r="H875" t="str">
        <f t="shared" si="40"/>
        <v>Low</v>
      </c>
      <c r="I875" t="s">
        <v>14</v>
      </c>
      <c r="L875" t="s">
        <v>15</v>
      </c>
      <c r="M875" s="3">
        <f t="shared" si="41"/>
        <v>2145050</v>
      </c>
    </row>
    <row r="876" spans="1:13" ht="15.75" x14ac:dyDescent="0.3">
      <c r="A876" s="1">
        <v>45433</v>
      </c>
      <c r="B876" t="s">
        <v>15</v>
      </c>
      <c r="C876" t="s">
        <v>21</v>
      </c>
      <c r="D876" t="s">
        <v>10</v>
      </c>
      <c r="E876">
        <v>8</v>
      </c>
      <c r="F876">
        <v>300</v>
      </c>
      <c r="G876" s="2">
        <f t="shared" si="39"/>
        <v>2400</v>
      </c>
      <c r="H876" t="str">
        <f t="shared" si="40"/>
        <v>Low</v>
      </c>
      <c r="I876" t="s">
        <v>8</v>
      </c>
      <c r="L876" t="s">
        <v>15</v>
      </c>
      <c r="M876" s="3">
        <f t="shared" si="41"/>
        <v>2145050</v>
      </c>
    </row>
    <row r="877" spans="1:13" ht="15.75" x14ac:dyDescent="0.3">
      <c r="A877" s="1">
        <v>45292</v>
      </c>
      <c r="B877" t="s">
        <v>12</v>
      </c>
      <c r="C877" t="s">
        <v>6</v>
      </c>
      <c r="D877" t="s">
        <v>7</v>
      </c>
      <c r="E877">
        <v>2</v>
      </c>
      <c r="F877">
        <v>300</v>
      </c>
      <c r="G877" s="2">
        <f t="shared" si="39"/>
        <v>600</v>
      </c>
      <c r="H877" t="str">
        <f t="shared" si="40"/>
        <v>Low</v>
      </c>
      <c r="I877" t="s">
        <v>11</v>
      </c>
      <c r="L877" t="s">
        <v>12</v>
      </c>
      <c r="M877" s="3">
        <f t="shared" si="41"/>
        <v>2865050</v>
      </c>
    </row>
    <row r="878" spans="1:13" ht="15.75" x14ac:dyDescent="0.3">
      <c r="A878" s="1">
        <v>45627</v>
      </c>
      <c r="B878" t="s">
        <v>26</v>
      </c>
      <c r="C878" t="s">
        <v>22</v>
      </c>
      <c r="D878" t="s">
        <v>10</v>
      </c>
      <c r="E878">
        <v>10</v>
      </c>
      <c r="F878">
        <v>150</v>
      </c>
      <c r="G878" s="2">
        <f t="shared" si="39"/>
        <v>1500</v>
      </c>
      <c r="H878" t="str">
        <f t="shared" si="40"/>
        <v>Low</v>
      </c>
      <c r="I878" t="s">
        <v>8</v>
      </c>
      <c r="L878" t="s">
        <v>26</v>
      </c>
      <c r="M878" s="3">
        <f t="shared" si="41"/>
        <v>2430500</v>
      </c>
    </row>
    <row r="879" spans="1:13" ht="15.75" x14ac:dyDescent="0.3">
      <c r="A879" s="1">
        <v>45419</v>
      </c>
      <c r="B879" t="s">
        <v>25</v>
      </c>
      <c r="C879" t="s">
        <v>22</v>
      </c>
      <c r="D879" t="s">
        <v>10</v>
      </c>
      <c r="E879">
        <v>1</v>
      </c>
      <c r="F879">
        <v>300</v>
      </c>
      <c r="G879" s="2">
        <f t="shared" si="39"/>
        <v>300</v>
      </c>
      <c r="H879" t="str">
        <f t="shared" si="40"/>
        <v>Low</v>
      </c>
      <c r="I879" t="s">
        <v>11</v>
      </c>
      <c r="L879" t="s">
        <v>25</v>
      </c>
      <c r="M879" s="3">
        <f t="shared" si="41"/>
        <v>2243250</v>
      </c>
    </row>
    <row r="880" spans="1:13" ht="15.75" x14ac:dyDescent="0.3">
      <c r="A880" s="1">
        <v>45322</v>
      </c>
      <c r="B880" t="s">
        <v>9</v>
      </c>
      <c r="C880" t="s">
        <v>21</v>
      </c>
      <c r="D880" t="s">
        <v>10</v>
      </c>
      <c r="E880">
        <v>7</v>
      </c>
      <c r="F880">
        <v>300</v>
      </c>
      <c r="G880" s="2">
        <f t="shared" si="39"/>
        <v>2100</v>
      </c>
      <c r="H880" t="str">
        <f t="shared" si="40"/>
        <v>Low</v>
      </c>
      <c r="I880" t="s">
        <v>8</v>
      </c>
      <c r="L880" t="s">
        <v>9</v>
      </c>
      <c r="M880" s="3">
        <f t="shared" si="41"/>
        <v>1849750</v>
      </c>
    </row>
    <row r="881" spans="1:13" ht="15.75" x14ac:dyDescent="0.3">
      <c r="A881" s="1">
        <v>45508</v>
      </c>
      <c r="B881" t="s">
        <v>19</v>
      </c>
      <c r="C881" t="s">
        <v>13</v>
      </c>
      <c r="D881" t="s">
        <v>17</v>
      </c>
      <c r="E881">
        <v>3</v>
      </c>
      <c r="F881">
        <v>300</v>
      </c>
      <c r="G881" s="2">
        <f t="shared" si="39"/>
        <v>900</v>
      </c>
      <c r="H881" t="str">
        <f t="shared" si="40"/>
        <v>Low</v>
      </c>
      <c r="I881" t="s">
        <v>11</v>
      </c>
      <c r="L881" t="s">
        <v>19</v>
      </c>
      <c r="M881" s="3">
        <f t="shared" si="41"/>
        <v>2179300</v>
      </c>
    </row>
    <row r="882" spans="1:13" ht="15.75" x14ac:dyDescent="0.3">
      <c r="A882" s="1">
        <v>45597</v>
      </c>
      <c r="B882" t="s">
        <v>26</v>
      </c>
      <c r="C882" t="s">
        <v>22</v>
      </c>
      <c r="D882" t="s">
        <v>10</v>
      </c>
      <c r="E882">
        <v>9</v>
      </c>
      <c r="F882">
        <v>4500</v>
      </c>
      <c r="G882" s="2">
        <f t="shared" si="39"/>
        <v>40500</v>
      </c>
      <c r="H882" t="str">
        <f t="shared" si="40"/>
        <v>High</v>
      </c>
      <c r="I882" t="s">
        <v>14</v>
      </c>
      <c r="L882" t="s">
        <v>26</v>
      </c>
      <c r="M882" s="3">
        <f t="shared" si="41"/>
        <v>2430500</v>
      </c>
    </row>
    <row r="883" spans="1:13" ht="15.75" x14ac:dyDescent="0.3">
      <c r="A883" s="1">
        <v>45584</v>
      </c>
      <c r="B883" t="s">
        <v>25</v>
      </c>
      <c r="C883" t="s">
        <v>13</v>
      </c>
      <c r="D883" t="s">
        <v>7</v>
      </c>
      <c r="E883">
        <v>3</v>
      </c>
      <c r="F883">
        <v>300</v>
      </c>
      <c r="G883" s="2">
        <f t="shared" si="39"/>
        <v>900</v>
      </c>
      <c r="H883" t="str">
        <f t="shared" si="40"/>
        <v>Low</v>
      </c>
      <c r="I883" t="s">
        <v>8</v>
      </c>
      <c r="L883" t="s">
        <v>25</v>
      </c>
      <c r="M883" s="3">
        <f t="shared" si="41"/>
        <v>2243250</v>
      </c>
    </row>
    <row r="884" spans="1:13" ht="15.75" x14ac:dyDescent="0.3">
      <c r="A884" s="1">
        <v>45356</v>
      </c>
      <c r="B884" t="s">
        <v>15</v>
      </c>
      <c r="C884" t="s">
        <v>21</v>
      </c>
      <c r="D884" t="s">
        <v>10</v>
      </c>
      <c r="E884">
        <v>8</v>
      </c>
      <c r="F884">
        <v>150</v>
      </c>
      <c r="G884" s="2">
        <f t="shared" si="39"/>
        <v>1200</v>
      </c>
      <c r="H884" t="str">
        <f t="shared" si="40"/>
        <v>Low</v>
      </c>
      <c r="I884" t="s">
        <v>8</v>
      </c>
      <c r="L884" t="s">
        <v>15</v>
      </c>
      <c r="M884" s="3">
        <f t="shared" si="41"/>
        <v>2145050</v>
      </c>
    </row>
    <row r="885" spans="1:13" ht="15.75" x14ac:dyDescent="0.3">
      <c r="A885" s="1">
        <v>45572</v>
      </c>
      <c r="B885" t="s">
        <v>19</v>
      </c>
      <c r="C885" t="s">
        <v>13</v>
      </c>
      <c r="D885" t="s">
        <v>7</v>
      </c>
      <c r="E885">
        <v>5</v>
      </c>
      <c r="F885">
        <v>300</v>
      </c>
      <c r="G885" s="2">
        <f t="shared" si="39"/>
        <v>1500</v>
      </c>
      <c r="H885" t="str">
        <f t="shared" si="40"/>
        <v>Low</v>
      </c>
      <c r="I885" t="s">
        <v>8</v>
      </c>
      <c r="L885" t="s">
        <v>19</v>
      </c>
      <c r="M885" s="3">
        <f t="shared" si="41"/>
        <v>2179300</v>
      </c>
    </row>
    <row r="886" spans="1:13" ht="15.75" x14ac:dyDescent="0.3">
      <c r="A886" s="1">
        <v>45420</v>
      </c>
      <c r="B886" t="s">
        <v>12</v>
      </c>
      <c r="C886" t="s">
        <v>21</v>
      </c>
      <c r="D886" t="s">
        <v>17</v>
      </c>
      <c r="E886">
        <v>8</v>
      </c>
      <c r="F886">
        <v>150</v>
      </c>
      <c r="G886" s="2">
        <f t="shared" si="39"/>
        <v>1200</v>
      </c>
      <c r="H886" t="str">
        <f t="shared" si="40"/>
        <v>Low</v>
      </c>
      <c r="I886" t="s">
        <v>11</v>
      </c>
      <c r="L886" t="s">
        <v>12</v>
      </c>
      <c r="M886" s="3">
        <f t="shared" si="41"/>
        <v>2865050</v>
      </c>
    </row>
    <row r="887" spans="1:13" ht="15.75" x14ac:dyDescent="0.3">
      <c r="A887" s="1">
        <v>45400</v>
      </c>
      <c r="B887" t="s">
        <v>26</v>
      </c>
      <c r="C887" t="s">
        <v>16</v>
      </c>
      <c r="D887" t="s">
        <v>7</v>
      </c>
      <c r="E887">
        <v>5</v>
      </c>
      <c r="F887">
        <v>4500</v>
      </c>
      <c r="G887" s="2">
        <f t="shared" si="39"/>
        <v>22500</v>
      </c>
      <c r="H887" t="str">
        <f t="shared" si="40"/>
        <v>High</v>
      </c>
      <c r="I887" t="s">
        <v>14</v>
      </c>
      <c r="L887" t="s">
        <v>26</v>
      </c>
      <c r="M887" s="3">
        <f t="shared" si="41"/>
        <v>2430500</v>
      </c>
    </row>
    <row r="888" spans="1:13" ht="15.75" x14ac:dyDescent="0.3">
      <c r="A888" s="1">
        <v>45526</v>
      </c>
      <c r="B888" t="s">
        <v>19</v>
      </c>
      <c r="C888" t="s">
        <v>16</v>
      </c>
      <c r="D888" t="s">
        <v>7</v>
      </c>
      <c r="E888">
        <v>8</v>
      </c>
      <c r="F888">
        <v>150</v>
      </c>
      <c r="G888" s="2">
        <f t="shared" si="39"/>
        <v>1200</v>
      </c>
      <c r="H888" t="str">
        <f t="shared" si="40"/>
        <v>Low</v>
      </c>
      <c r="I888" t="s">
        <v>14</v>
      </c>
      <c r="L888" t="s">
        <v>19</v>
      </c>
      <c r="M888" s="3">
        <f t="shared" si="41"/>
        <v>2179300</v>
      </c>
    </row>
    <row r="889" spans="1:13" ht="15.75" x14ac:dyDescent="0.3">
      <c r="A889" s="1">
        <v>45554</v>
      </c>
      <c r="B889" t="s">
        <v>19</v>
      </c>
      <c r="C889" t="s">
        <v>21</v>
      </c>
      <c r="D889" t="s">
        <v>10</v>
      </c>
      <c r="E889">
        <v>10</v>
      </c>
      <c r="F889">
        <v>150</v>
      </c>
      <c r="G889" s="2">
        <f t="shared" si="39"/>
        <v>1500</v>
      </c>
      <c r="H889" t="str">
        <f t="shared" si="40"/>
        <v>Low</v>
      </c>
      <c r="I889" t="s">
        <v>11</v>
      </c>
      <c r="L889" t="s">
        <v>19</v>
      </c>
      <c r="M889" s="3">
        <f t="shared" si="41"/>
        <v>2179300</v>
      </c>
    </row>
    <row r="890" spans="1:13" ht="15.75" x14ac:dyDescent="0.3">
      <c r="A890" s="1">
        <v>45553</v>
      </c>
      <c r="B890" t="s">
        <v>15</v>
      </c>
      <c r="C890" t="s">
        <v>16</v>
      </c>
      <c r="D890" t="s">
        <v>7</v>
      </c>
      <c r="E890">
        <v>5</v>
      </c>
      <c r="F890">
        <v>300</v>
      </c>
      <c r="G890" s="2">
        <f t="shared" si="39"/>
        <v>1500</v>
      </c>
      <c r="H890" t="str">
        <f t="shared" si="40"/>
        <v>Low</v>
      </c>
      <c r="I890" t="s">
        <v>11</v>
      </c>
      <c r="L890" t="s">
        <v>15</v>
      </c>
      <c r="M890" s="3">
        <f t="shared" si="41"/>
        <v>2145050</v>
      </c>
    </row>
    <row r="891" spans="1:13" ht="15.75" x14ac:dyDescent="0.3">
      <c r="A891" s="1">
        <v>45622</v>
      </c>
      <c r="B891" t="s">
        <v>12</v>
      </c>
      <c r="C891" t="s">
        <v>16</v>
      </c>
      <c r="D891" t="s">
        <v>10</v>
      </c>
      <c r="E891">
        <v>10</v>
      </c>
      <c r="F891">
        <v>150</v>
      </c>
      <c r="G891" s="2">
        <f t="shared" si="39"/>
        <v>1500</v>
      </c>
      <c r="H891" t="str">
        <f t="shared" si="40"/>
        <v>Low</v>
      </c>
      <c r="I891" t="s">
        <v>14</v>
      </c>
      <c r="L891" t="s">
        <v>12</v>
      </c>
      <c r="M891" s="3">
        <f t="shared" si="41"/>
        <v>2865050</v>
      </c>
    </row>
    <row r="892" spans="1:13" ht="15.75" x14ac:dyDescent="0.3">
      <c r="A892" s="1">
        <v>45559</v>
      </c>
      <c r="B892" t="s">
        <v>26</v>
      </c>
      <c r="C892" t="s">
        <v>21</v>
      </c>
      <c r="D892" t="s">
        <v>10</v>
      </c>
      <c r="E892">
        <v>6</v>
      </c>
      <c r="F892">
        <v>300</v>
      </c>
      <c r="G892" s="2">
        <f t="shared" si="39"/>
        <v>1800</v>
      </c>
      <c r="H892" t="str">
        <f t="shared" si="40"/>
        <v>Low</v>
      </c>
      <c r="I892" t="s">
        <v>8</v>
      </c>
      <c r="L892" t="s">
        <v>26</v>
      </c>
      <c r="M892" s="3">
        <f t="shared" si="41"/>
        <v>2430500</v>
      </c>
    </row>
    <row r="893" spans="1:13" ht="15.75" x14ac:dyDescent="0.3">
      <c r="A893" s="1">
        <v>45313</v>
      </c>
      <c r="B893" t="s">
        <v>25</v>
      </c>
      <c r="C893" t="s">
        <v>13</v>
      </c>
      <c r="D893" t="s">
        <v>17</v>
      </c>
      <c r="E893">
        <v>7</v>
      </c>
      <c r="F893">
        <v>300</v>
      </c>
      <c r="G893" s="2">
        <f t="shared" si="39"/>
        <v>2100</v>
      </c>
      <c r="H893" t="str">
        <f t="shared" si="40"/>
        <v>Low</v>
      </c>
      <c r="I893" t="s">
        <v>14</v>
      </c>
      <c r="L893" t="s">
        <v>25</v>
      </c>
      <c r="M893" s="3">
        <f t="shared" si="41"/>
        <v>2243250</v>
      </c>
    </row>
    <row r="894" spans="1:13" ht="15.75" x14ac:dyDescent="0.3">
      <c r="A894" s="1">
        <v>45318</v>
      </c>
      <c r="B894" t="s">
        <v>24</v>
      </c>
      <c r="C894" t="s">
        <v>13</v>
      </c>
      <c r="D894" t="s">
        <v>20</v>
      </c>
      <c r="E894">
        <v>4</v>
      </c>
      <c r="F894">
        <v>4500</v>
      </c>
      <c r="G894" s="2">
        <f t="shared" si="39"/>
        <v>18000</v>
      </c>
      <c r="H894" t="str">
        <f t="shared" si="40"/>
        <v>High</v>
      </c>
      <c r="I894" t="s">
        <v>11</v>
      </c>
      <c r="L894" t="s">
        <v>24</v>
      </c>
      <c r="M894" s="3">
        <f t="shared" si="41"/>
        <v>2514250</v>
      </c>
    </row>
    <row r="895" spans="1:13" ht="15.75" x14ac:dyDescent="0.3">
      <c r="A895" s="1">
        <v>45478</v>
      </c>
      <c r="B895" t="s">
        <v>12</v>
      </c>
      <c r="C895" t="s">
        <v>21</v>
      </c>
      <c r="D895" t="s">
        <v>18</v>
      </c>
      <c r="E895">
        <v>1</v>
      </c>
      <c r="F895">
        <v>8500</v>
      </c>
      <c r="G895" s="2">
        <f t="shared" si="39"/>
        <v>8500</v>
      </c>
      <c r="H895" t="str">
        <f t="shared" si="40"/>
        <v>Low</v>
      </c>
      <c r="I895" t="s">
        <v>8</v>
      </c>
      <c r="L895" t="s">
        <v>12</v>
      </c>
      <c r="M895" s="3">
        <f t="shared" si="41"/>
        <v>2865050</v>
      </c>
    </row>
    <row r="896" spans="1:13" ht="15.75" x14ac:dyDescent="0.3">
      <c r="A896" s="1">
        <v>45526</v>
      </c>
      <c r="B896" t="s">
        <v>19</v>
      </c>
      <c r="C896" t="s">
        <v>16</v>
      </c>
      <c r="D896" t="s">
        <v>17</v>
      </c>
      <c r="E896">
        <v>7</v>
      </c>
      <c r="F896">
        <v>3200</v>
      </c>
      <c r="G896" s="2">
        <f t="shared" si="39"/>
        <v>22400</v>
      </c>
      <c r="H896" t="str">
        <f t="shared" si="40"/>
        <v>High</v>
      </c>
      <c r="I896" t="s">
        <v>8</v>
      </c>
      <c r="L896" t="s">
        <v>19</v>
      </c>
      <c r="M896" s="3">
        <f t="shared" si="41"/>
        <v>2179300</v>
      </c>
    </row>
    <row r="897" spans="1:13" ht="15.75" x14ac:dyDescent="0.3">
      <c r="A897" s="1">
        <v>45618</v>
      </c>
      <c r="B897" t="s">
        <v>9</v>
      </c>
      <c r="C897" t="s">
        <v>21</v>
      </c>
      <c r="D897" t="s">
        <v>7</v>
      </c>
      <c r="E897">
        <v>1</v>
      </c>
      <c r="F897">
        <v>4500</v>
      </c>
      <c r="G897" s="2">
        <f t="shared" si="39"/>
        <v>4500</v>
      </c>
      <c r="H897" t="str">
        <f t="shared" si="40"/>
        <v>Low</v>
      </c>
      <c r="I897" t="s">
        <v>11</v>
      </c>
      <c r="L897" t="s">
        <v>9</v>
      </c>
      <c r="M897" s="3">
        <f t="shared" si="41"/>
        <v>1849750</v>
      </c>
    </row>
    <row r="898" spans="1:13" ht="15.75" x14ac:dyDescent="0.3">
      <c r="A898" s="1">
        <v>45320</v>
      </c>
      <c r="B898" t="s">
        <v>25</v>
      </c>
      <c r="C898" t="s">
        <v>13</v>
      </c>
      <c r="D898" t="s">
        <v>7</v>
      </c>
      <c r="E898">
        <v>4</v>
      </c>
      <c r="F898">
        <v>150</v>
      </c>
      <c r="G898" s="2">
        <f t="shared" si="39"/>
        <v>600</v>
      </c>
      <c r="H898" t="str">
        <f t="shared" si="40"/>
        <v>Low</v>
      </c>
      <c r="I898" t="s">
        <v>8</v>
      </c>
      <c r="L898" t="s">
        <v>25</v>
      </c>
      <c r="M898" s="3">
        <f t="shared" si="41"/>
        <v>2243250</v>
      </c>
    </row>
    <row r="899" spans="1:13" ht="15.75" x14ac:dyDescent="0.3">
      <c r="A899" s="1">
        <v>45547</v>
      </c>
      <c r="B899" t="s">
        <v>12</v>
      </c>
      <c r="C899" t="s">
        <v>21</v>
      </c>
      <c r="D899" t="s">
        <v>20</v>
      </c>
      <c r="E899">
        <v>8</v>
      </c>
      <c r="F899">
        <v>150</v>
      </c>
      <c r="G899" s="2">
        <f t="shared" ref="G899:G962" si="42">E899*F899</f>
        <v>1200</v>
      </c>
      <c r="H899" t="str">
        <f t="shared" ref="H899:H962" si="43">IF(G899&gt;=10000,"High","Low")</f>
        <v>Low</v>
      </c>
      <c r="I899" t="s">
        <v>8</v>
      </c>
      <c r="L899" t="s">
        <v>12</v>
      </c>
      <c r="M899" s="3">
        <f t="shared" ref="M899:M962" si="44">SUMIF(B:B,L899,G:G)</f>
        <v>2865050</v>
      </c>
    </row>
    <row r="900" spans="1:13" ht="15.75" x14ac:dyDescent="0.3">
      <c r="A900" s="1">
        <v>45393</v>
      </c>
      <c r="B900" t="s">
        <v>24</v>
      </c>
      <c r="C900" t="s">
        <v>16</v>
      </c>
      <c r="D900" t="s">
        <v>10</v>
      </c>
      <c r="E900">
        <v>8</v>
      </c>
      <c r="F900">
        <v>8500</v>
      </c>
      <c r="G900" s="2">
        <f t="shared" si="42"/>
        <v>68000</v>
      </c>
      <c r="H900" t="str">
        <f t="shared" si="43"/>
        <v>High</v>
      </c>
      <c r="I900" t="s">
        <v>14</v>
      </c>
      <c r="L900" t="s">
        <v>24</v>
      </c>
      <c r="M900" s="3">
        <f t="shared" si="44"/>
        <v>2514250</v>
      </c>
    </row>
    <row r="901" spans="1:13" ht="15.75" x14ac:dyDescent="0.3">
      <c r="A901" s="1">
        <v>45335</v>
      </c>
      <c r="B901" t="s">
        <v>12</v>
      </c>
      <c r="C901" t="s">
        <v>16</v>
      </c>
      <c r="D901" t="s">
        <v>10</v>
      </c>
      <c r="E901">
        <v>6</v>
      </c>
      <c r="F901">
        <v>300</v>
      </c>
      <c r="G901" s="2">
        <f t="shared" si="42"/>
        <v>1800</v>
      </c>
      <c r="H901" t="str">
        <f t="shared" si="43"/>
        <v>Low</v>
      </c>
      <c r="I901" t="s">
        <v>8</v>
      </c>
      <c r="L901" t="s">
        <v>12</v>
      </c>
      <c r="M901" s="3">
        <f t="shared" si="44"/>
        <v>2865050</v>
      </c>
    </row>
    <row r="902" spans="1:13" ht="15.75" x14ac:dyDescent="0.3">
      <c r="A902" s="1">
        <v>45338</v>
      </c>
      <c r="B902" t="s">
        <v>23</v>
      </c>
      <c r="C902" t="s">
        <v>22</v>
      </c>
      <c r="D902" t="s">
        <v>18</v>
      </c>
      <c r="E902">
        <v>4</v>
      </c>
      <c r="F902">
        <v>300</v>
      </c>
      <c r="G902" s="2">
        <f t="shared" si="42"/>
        <v>1200</v>
      </c>
      <c r="H902" t="str">
        <f t="shared" si="43"/>
        <v>Low</v>
      </c>
      <c r="I902" t="s">
        <v>14</v>
      </c>
      <c r="L902" t="s">
        <v>23</v>
      </c>
      <c r="M902" s="3">
        <f t="shared" si="44"/>
        <v>2202100</v>
      </c>
    </row>
    <row r="903" spans="1:13" ht="15.75" x14ac:dyDescent="0.3">
      <c r="A903" s="1">
        <v>45553</v>
      </c>
      <c r="B903" t="s">
        <v>26</v>
      </c>
      <c r="C903" t="s">
        <v>16</v>
      </c>
      <c r="D903" t="s">
        <v>20</v>
      </c>
      <c r="E903">
        <v>5</v>
      </c>
      <c r="F903">
        <v>3200</v>
      </c>
      <c r="G903" s="2">
        <f t="shared" si="42"/>
        <v>16000</v>
      </c>
      <c r="H903" t="str">
        <f t="shared" si="43"/>
        <v>High</v>
      </c>
      <c r="I903" t="s">
        <v>14</v>
      </c>
      <c r="L903" t="s">
        <v>26</v>
      </c>
      <c r="M903" s="3">
        <f t="shared" si="44"/>
        <v>2430500</v>
      </c>
    </row>
    <row r="904" spans="1:13" ht="15.75" x14ac:dyDescent="0.3">
      <c r="A904" s="1">
        <v>45542</v>
      </c>
      <c r="B904" t="s">
        <v>23</v>
      </c>
      <c r="C904" t="s">
        <v>16</v>
      </c>
      <c r="D904" t="s">
        <v>17</v>
      </c>
      <c r="E904">
        <v>8</v>
      </c>
      <c r="F904">
        <v>8500</v>
      </c>
      <c r="G904" s="2">
        <f t="shared" si="42"/>
        <v>68000</v>
      </c>
      <c r="H904" t="str">
        <f t="shared" si="43"/>
        <v>High</v>
      </c>
      <c r="I904" t="s">
        <v>8</v>
      </c>
      <c r="L904" t="s">
        <v>23</v>
      </c>
      <c r="M904" s="3">
        <f t="shared" si="44"/>
        <v>2202100</v>
      </c>
    </row>
    <row r="905" spans="1:13" ht="15.75" x14ac:dyDescent="0.3">
      <c r="A905" s="1">
        <v>45386</v>
      </c>
      <c r="B905" t="s">
        <v>15</v>
      </c>
      <c r="C905" t="s">
        <v>21</v>
      </c>
      <c r="D905" t="s">
        <v>20</v>
      </c>
      <c r="E905">
        <v>3</v>
      </c>
      <c r="F905">
        <v>4500</v>
      </c>
      <c r="G905" s="2">
        <f t="shared" si="42"/>
        <v>13500</v>
      </c>
      <c r="H905" t="str">
        <f t="shared" si="43"/>
        <v>High</v>
      </c>
      <c r="I905" t="s">
        <v>8</v>
      </c>
      <c r="L905" t="s">
        <v>15</v>
      </c>
      <c r="M905" s="3">
        <f t="shared" si="44"/>
        <v>2145050</v>
      </c>
    </row>
    <row r="906" spans="1:13" ht="15.75" x14ac:dyDescent="0.3">
      <c r="A906" s="1">
        <v>45576</v>
      </c>
      <c r="B906" t="s">
        <v>12</v>
      </c>
      <c r="C906" t="s">
        <v>6</v>
      </c>
      <c r="D906" t="s">
        <v>10</v>
      </c>
      <c r="E906">
        <v>5</v>
      </c>
      <c r="F906">
        <v>8500</v>
      </c>
      <c r="G906" s="2">
        <f t="shared" si="42"/>
        <v>42500</v>
      </c>
      <c r="H906" t="str">
        <f t="shared" si="43"/>
        <v>High</v>
      </c>
      <c r="I906" t="s">
        <v>14</v>
      </c>
      <c r="L906" t="s">
        <v>12</v>
      </c>
      <c r="M906" s="3">
        <f t="shared" si="44"/>
        <v>2865050</v>
      </c>
    </row>
    <row r="907" spans="1:13" ht="15.75" x14ac:dyDescent="0.3">
      <c r="A907" s="1">
        <v>45560</v>
      </c>
      <c r="B907" t="s">
        <v>26</v>
      </c>
      <c r="C907" t="s">
        <v>6</v>
      </c>
      <c r="D907" t="s">
        <v>17</v>
      </c>
      <c r="E907">
        <v>4</v>
      </c>
      <c r="F907">
        <v>300</v>
      </c>
      <c r="G907" s="2">
        <f t="shared" si="42"/>
        <v>1200</v>
      </c>
      <c r="H907" t="str">
        <f t="shared" si="43"/>
        <v>Low</v>
      </c>
      <c r="I907" t="s">
        <v>8</v>
      </c>
      <c r="L907" t="s">
        <v>26</v>
      </c>
      <c r="M907" s="3">
        <f t="shared" si="44"/>
        <v>2430500</v>
      </c>
    </row>
    <row r="908" spans="1:13" ht="15.75" x14ac:dyDescent="0.3">
      <c r="A908" s="1">
        <v>45493</v>
      </c>
      <c r="B908" t="s">
        <v>23</v>
      </c>
      <c r="C908" t="s">
        <v>22</v>
      </c>
      <c r="D908" t="s">
        <v>18</v>
      </c>
      <c r="E908">
        <v>3</v>
      </c>
      <c r="F908">
        <v>4500</v>
      </c>
      <c r="G908" s="2">
        <f t="shared" si="42"/>
        <v>13500</v>
      </c>
      <c r="H908" t="str">
        <f t="shared" si="43"/>
        <v>High</v>
      </c>
      <c r="I908" t="s">
        <v>8</v>
      </c>
      <c r="L908" t="s">
        <v>23</v>
      </c>
      <c r="M908" s="3">
        <f t="shared" si="44"/>
        <v>2202100</v>
      </c>
    </row>
    <row r="909" spans="1:13" ht="15.75" x14ac:dyDescent="0.3">
      <c r="A909" s="1">
        <v>45559</v>
      </c>
      <c r="B909" t="s">
        <v>12</v>
      </c>
      <c r="C909" t="s">
        <v>6</v>
      </c>
      <c r="D909" t="s">
        <v>18</v>
      </c>
      <c r="E909">
        <v>6</v>
      </c>
      <c r="F909">
        <v>3200</v>
      </c>
      <c r="G909" s="2">
        <f t="shared" si="42"/>
        <v>19200</v>
      </c>
      <c r="H909" t="str">
        <f t="shared" si="43"/>
        <v>High</v>
      </c>
      <c r="I909" t="s">
        <v>11</v>
      </c>
      <c r="L909" t="s">
        <v>12</v>
      </c>
      <c r="M909" s="3">
        <f t="shared" si="44"/>
        <v>2865050</v>
      </c>
    </row>
    <row r="910" spans="1:13" ht="15.75" x14ac:dyDescent="0.3">
      <c r="A910" s="1">
        <v>45442</v>
      </c>
      <c r="B910" t="s">
        <v>24</v>
      </c>
      <c r="C910" t="s">
        <v>13</v>
      </c>
      <c r="D910" t="s">
        <v>20</v>
      </c>
      <c r="E910">
        <v>3</v>
      </c>
      <c r="F910">
        <v>3200</v>
      </c>
      <c r="G910" s="2">
        <f t="shared" si="42"/>
        <v>9600</v>
      </c>
      <c r="H910" t="str">
        <f t="shared" si="43"/>
        <v>Low</v>
      </c>
      <c r="I910" t="s">
        <v>8</v>
      </c>
      <c r="L910" t="s">
        <v>24</v>
      </c>
      <c r="M910" s="3">
        <f t="shared" si="44"/>
        <v>2514250</v>
      </c>
    </row>
    <row r="911" spans="1:13" ht="15.75" x14ac:dyDescent="0.3">
      <c r="A911" s="1">
        <v>45297</v>
      </c>
      <c r="B911" t="s">
        <v>25</v>
      </c>
      <c r="C911" t="s">
        <v>21</v>
      </c>
      <c r="D911" t="s">
        <v>17</v>
      </c>
      <c r="E911">
        <v>1</v>
      </c>
      <c r="F911">
        <v>8500</v>
      </c>
      <c r="G911" s="2">
        <f t="shared" si="42"/>
        <v>8500</v>
      </c>
      <c r="H911" t="str">
        <f t="shared" si="43"/>
        <v>Low</v>
      </c>
      <c r="I911" t="s">
        <v>11</v>
      </c>
      <c r="L911" t="s">
        <v>25</v>
      </c>
      <c r="M911" s="3">
        <f t="shared" si="44"/>
        <v>2243250</v>
      </c>
    </row>
    <row r="912" spans="1:13" ht="15.75" x14ac:dyDescent="0.3">
      <c r="A912" s="1">
        <v>45552</v>
      </c>
      <c r="B912" t="s">
        <v>23</v>
      </c>
      <c r="C912" t="s">
        <v>16</v>
      </c>
      <c r="D912" t="s">
        <v>17</v>
      </c>
      <c r="E912">
        <v>5</v>
      </c>
      <c r="F912">
        <v>4500</v>
      </c>
      <c r="G912" s="2">
        <f t="shared" si="42"/>
        <v>22500</v>
      </c>
      <c r="H912" t="str">
        <f t="shared" si="43"/>
        <v>High</v>
      </c>
      <c r="I912" t="s">
        <v>8</v>
      </c>
      <c r="L912" t="s">
        <v>23</v>
      </c>
      <c r="M912" s="3">
        <f t="shared" si="44"/>
        <v>2202100</v>
      </c>
    </row>
    <row r="913" spans="1:13" ht="15.75" x14ac:dyDescent="0.3">
      <c r="A913" s="1">
        <v>45408</v>
      </c>
      <c r="B913" t="s">
        <v>26</v>
      </c>
      <c r="C913" t="s">
        <v>16</v>
      </c>
      <c r="D913" t="s">
        <v>20</v>
      </c>
      <c r="E913">
        <v>5</v>
      </c>
      <c r="F913">
        <v>4500</v>
      </c>
      <c r="G913" s="2">
        <f t="shared" si="42"/>
        <v>22500</v>
      </c>
      <c r="H913" t="str">
        <f t="shared" si="43"/>
        <v>High</v>
      </c>
      <c r="I913" t="s">
        <v>11</v>
      </c>
      <c r="L913" t="s">
        <v>26</v>
      </c>
      <c r="M913" s="3">
        <f t="shared" si="44"/>
        <v>2430500</v>
      </c>
    </row>
    <row r="914" spans="1:13" ht="15.75" x14ac:dyDescent="0.3">
      <c r="A914" s="1">
        <v>45399</v>
      </c>
      <c r="B914" t="s">
        <v>26</v>
      </c>
      <c r="C914" t="s">
        <v>21</v>
      </c>
      <c r="D914" t="s">
        <v>18</v>
      </c>
      <c r="E914">
        <v>5</v>
      </c>
      <c r="F914">
        <v>8500</v>
      </c>
      <c r="G914" s="2">
        <f t="shared" si="42"/>
        <v>42500</v>
      </c>
      <c r="H914" t="str">
        <f t="shared" si="43"/>
        <v>High</v>
      </c>
      <c r="I914" t="s">
        <v>14</v>
      </c>
      <c r="L914" t="s">
        <v>26</v>
      </c>
      <c r="M914" s="3">
        <f t="shared" si="44"/>
        <v>2430500</v>
      </c>
    </row>
    <row r="915" spans="1:13" ht="15.75" x14ac:dyDescent="0.3">
      <c r="A915" s="1">
        <v>45394</v>
      </c>
      <c r="B915" t="s">
        <v>24</v>
      </c>
      <c r="C915" t="s">
        <v>13</v>
      </c>
      <c r="D915" t="s">
        <v>18</v>
      </c>
      <c r="E915">
        <v>4</v>
      </c>
      <c r="F915">
        <v>3200</v>
      </c>
      <c r="G915" s="2">
        <f t="shared" si="42"/>
        <v>12800</v>
      </c>
      <c r="H915" t="str">
        <f t="shared" si="43"/>
        <v>High</v>
      </c>
      <c r="I915" t="s">
        <v>11</v>
      </c>
      <c r="L915" t="s">
        <v>24</v>
      </c>
      <c r="M915" s="3">
        <f t="shared" si="44"/>
        <v>2514250</v>
      </c>
    </row>
    <row r="916" spans="1:13" ht="15.75" x14ac:dyDescent="0.3">
      <c r="A916" s="1">
        <v>45397</v>
      </c>
      <c r="B916" t="s">
        <v>24</v>
      </c>
      <c r="C916" t="s">
        <v>21</v>
      </c>
      <c r="D916" t="s">
        <v>7</v>
      </c>
      <c r="E916">
        <v>7</v>
      </c>
      <c r="F916">
        <v>3200</v>
      </c>
      <c r="G916" s="2">
        <f t="shared" si="42"/>
        <v>22400</v>
      </c>
      <c r="H916" t="str">
        <f t="shared" si="43"/>
        <v>High</v>
      </c>
      <c r="I916" t="s">
        <v>8</v>
      </c>
      <c r="L916" t="s">
        <v>24</v>
      </c>
      <c r="M916" s="3">
        <f t="shared" si="44"/>
        <v>2514250</v>
      </c>
    </row>
    <row r="917" spans="1:13" ht="15.75" x14ac:dyDescent="0.3">
      <c r="A917" s="1">
        <v>45633</v>
      </c>
      <c r="B917" t="s">
        <v>12</v>
      </c>
      <c r="C917" t="s">
        <v>22</v>
      </c>
      <c r="D917" t="s">
        <v>20</v>
      </c>
      <c r="E917">
        <v>5</v>
      </c>
      <c r="F917">
        <v>150</v>
      </c>
      <c r="G917" s="2">
        <f t="shared" si="42"/>
        <v>750</v>
      </c>
      <c r="H917" t="str">
        <f t="shared" si="43"/>
        <v>Low</v>
      </c>
      <c r="I917" t="s">
        <v>8</v>
      </c>
      <c r="L917" t="s">
        <v>12</v>
      </c>
      <c r="M917" s="3">
        <f t="shared" si="44"/>
        <v>2865050</v>
      </c>
    </row>
    <row r="918" spans="1:13" ht="15.75" x14ac:dyDescent="0.3">
      <c r="A918" s="1">
        <v>45605</v>
      </c>
      <c r="B918" t="s">
        <v>15</v>
      </c>
      <c r="C918" t="s">
        <v>16</v>
      </c>
      <c r="D918" t="s">
        <v>10</v>
      </c>
      <c r="E918">
        <v>3</v>
      </c>
      <c r="F918">
        <v>8500</v>
      </c>
      <c r="G918" s="2">
        <f t="shared" si="42"/>
        <v>25500</v>
      </c>
      <c r="H918" t="str">
        <f t="shared" si="43"/>
        <v>High</v>
      </c>
      <c r="I918" t="s">
        <v>11</v>
      </c>
      <c r="L918" t="s">
        <v>15</v>
      </c>
      <c r="M918" s="3">
        <f t="shared" si="44"/>
        <v>2145050</v>
      </c>
    </row>
    <row r="919" spans="1:13" ht="15.75" x14ac:dyDescent="0.3">
      <c r="A919" s="1">
        <v>45359</v>
      </c>
      <c r="B919" t="s">
        <v>12</v>
      </c>
      <c r="C919" t="s">
        <v>13</v>
      </c>
      <c r="D919" t="s">
        <v>7</v>
      </c>
      <c r="E919">
        <v>7</v>
      </c>
      <c r="F919">
        <v>300</v>
      </c>
      <c r="G919" s="2">
        <f t="shared" si="42"/>
        <v>2100</v>
      </c>
      <c r="H919" t="str">
        <f t="shared" si="43"/>
        <v>Low</v>
      </c>
      <c r="I919" t="s">
        <v>14</v>
      </c>
      <c r="L919" t="s">
        <v>12</v>
      </c>
      <c r="M919" s="3">
        <f t="shared" si="44"/>
        <v>2865050</v>
      </c>
    </row>
    <row r="920" spans="1:13" ht="15.75" x14ac:dyDescent="0.3">
      <c r="A920" s="1">
        <v>45556</v>
      </c>
      <c r="B920" t="s">
        <v>25</v>
      </c>
      <c r="C920" t="s">
        <v>16</v>
      </c>
      <c r="D920" t="s">
        <v>20</v>
      </c>
      <c r="E920">
        <v>7</v>
      </c>
      <c r="F920">
        <v>150</v>
      </c>
      <c r="G920" s="2">
        <f t="shared" si="42"/>
        <v>1050</v>
      </c>
      <c r="H920" t="str">
        <f t="shared" si="43"/>
        <v>Low</v>
      </c>
      <c r="I920" t="s">
        <v>14</v>
      </c>
      <c r="L920" t="s">
        <v>25</v>
      </c>
      <c r="M920" s="3">
        <f t="shared" si="44"/>
        <v>2243250</v>
      </c>
    </row>
    <row r="921" spans="1:13" ht="15.75" x14ac:dyDescent="0.3">
      <c r="A921" s="1">
        <v>45625</v>
      </c>
      <c r="B921" t="s">
        <v>26</v>
      </c>
      <c r="C921" t="s">
        <v>22</v>
      </c>
      <c r="D921" t="s">
        <v>20</v>
      </c>
      <c r="E921">
        <v>8</v>
      </c>
      <c r="F921">
        <v>8500</v>
      </c>
      <c r="G921" s="2">
        <f t="shared" si="42"/>
        <v>68000</v>
      </c>
      <c r="H921" t="str">
        <f t="shared" si="43"/>
        <v>High</v>
      </c>
      <c r="I921" t="s">
        <v>8</v>
      </c>
      <c r="L921" t="s">
        <v>26</v>
      </c>
      <c r="M921" s="3">
        <f t="shared" si="44"/>
        <v>2430500</v>
      </c>
    </row>
    <row r="922" spans="1:13" ht="15.75" x14ac:dyDescent="0.3">
      <c r="A922" s="1">
        <v>45624</v>
      </c>
      <c r="B922" t="s">
        <v>24</v>
      </c>
      <c r="C922" t="s">
        <v>13</v>
      </c>
      <c r="D922" t="s">
        <v>17</v>
      </c>
      <c r="E922">
        <v>10</v>
      </c>
      <c r="F922">
        <v>8500</v>
      </c>
      <c r="G922" s="2">
        <f t="shared" si="42"/>
        <v>85000</v>
      </c>
      <c r="H922" t="str">
        <f t="shared" si="43"/>
        <v>High</v>
      </c>
      <c r="I922" t="s">
        <v>11</v>
      </c>
      <c r="L922" t="s">
        <v>24</v>
      </c>
      <c r="M922" s="3">
        <f t="shared" si="44"/>
        <v>2514250</v>
      </c>
    </row>
    <row r="923" spans="1:13" ht="15.75" x14ac:dyDescent="0.3">
      <c r="A923" s="1">
        <v>45555</v>
      </c>
      <c r="B923" t="s">
        <v>23</v>
      </c>
      <c r="C923" t="s">
        <v>13</v>
      </c>
      <c r="D923" t="s">
        <v>17</v>
      </c>
      <c r="E923">
        <v>3</v>
      </c>
      <c r="F923">
        <v>4500</v>
      </c>
      <c r="G923" s="2">
        <f t="shared" si="42"/>
        <v>13500</v>
      </c>
      <c r="H923" t="str">
        <f t="shared" si="43"/>
        <v>High</v>
      </c>
      <c r="I923" t="s">
        <v>11</v>
      </c>
      <c r="L923" t="s">
        <v>23</v>
      </c>
      <c r="M923" s="3">
        <f t="shared" si="44"/>
        <v>2202100</v>
      </c>
    </row>
    <row r="924" spans="1:13" ht="15.75" x14ac:dyDescent="0.3">
      <c r="A924" s="1">
        <v>45523</v>
      </c>
      <c r="B924" t="s">
        <v>25</v>
      </c>
      <c r="C924" t="s">
        <v>22</v>
      </c>
      <c r="D924" t="s">
        <v>18</v>
      </c>
      <c r="E924">
        <v>5</v>
      </c>
      <c r="F924">
        <v>4500</v>
      </c>
      <c r="G924" s="2">
        <f t="shared" si="42"/>
        <v>22500</v>
      </c>
      <c r="H924" t="str">
        <f t="shared" si="43"/>
        <v>High</v>
      </c>
      <c r="I924" t="s">
        <v>8</v>
      </c>
      <c r="L924" t="s">
        <v>25</v>
      </c>
      <c r="M924" s="3">
        <f t="shared" si="44"/>
        <v>2243250</v>
      </c>
    </row>
    <row r="925" spans="1:13" ht="15.75" x14ac:dyDescent="0.3">
      <c r="A925" s="1">
        <v>45646</v>
      </c>
      <c r="B925" t="s">
        <v>12</v>
      </c>
      <c r="C925" t="s">
        <v>16</v>
      </c>
      <c r="D925" t="s">
        <v>10</v>
      </c>
      <c r="E925">
        <v>8</v>
      </c>
      <c r="F925">
        <v>3200</v>
      </c>
      <c r="G925" s="2">
        <f t="shared" si="42"/>
        <v>25600</v>
      </c>
      <c r="H925" t="str">
        <f t="shared" si="43"/>
        <v>High</v>
      </c>
      <c r="I925" t="s">
        <v>14</v>
      </c>
      <c r="L925" t="s">
        <v>12</v>
      </c>
      <c r="M925" s="3">
        <f t="shared" si="44"/>
        <v>2865050</v>
      </c>
    </row>
    <row r="926" spans="1:13" ht="15.75" x14ac:dyDescent="0.3">
      <c r="A926" s="1">
        <v>45304</v>
      </c>
      <c r="B926" t="s">
        <v>19</v>
      </c>
      <c r="C926" t="s">
        <v>16</v>
      </c>
      <c r="D926" t="s">
        <v>10</v>
      </c>
      <c r="E926">
        <v>2</v>
      </c>
      <c r="F926">
        <v>300</v>
      </c>
      <c r="G926" s="2">
        <f t="shared" si="42"/>
        <v>600</v>
      </c>
      <c r="H926" t="str">
        <f t="shared" si="43"/>
        <v>Low</v>
      </c>
      <c r="I926" t="s">
        <v>14</v>
      </c>
      <c r="L926" t="s">
        <v>19</v>
      </c>
      <c r="M926" s="3">
        <f t="shared" si="44"/>
        <v>2179300</v>
      </c>
    </row>
    <row r="927" spans="1:13" ht="15.75" x14ac:dyDescent="0.3">
      <c r="A927" s="1">
        <v>45362</v>
      </c>
      <c r="B927" t="s">
        <v>12</v>
      </c>
      <c r="C927" t="s">
        <v>16</v>
      </c>
      <c r="D927" t="s">
        <v>17</v>
      </c>
      <c r="E927">
        <v>7</v>
      </c>
      <c r="F927">
        <v>300</v>
      </c>
      <c r="G927" s="2">
        <f t="shared" si="42"/>
        <v>2100</v>
      </c>
      <c r="H927" t="str">
        <f t="shared" si="43"/>
        <v>Low</v>
      </c>
      <c r="I927" t="s">
        <v>11</v>
      </c>
      <c r="L927" t="s">
        <v>12</v>
      </c>
      <c r="M927" s="3">
        <f t="shared" si="44"/>
        <v>2865050</v>
      </c>
    </row>
    <row r="928" spans="1:13" ht="15.75" x14ac:dyDescent="0.3">
      <c r="A928" s="1">
        <v>45327</v>
      </c>
      <c r="B928" t="s">
        <v>9</v>
      </c>
      <c r="C928" t="s">
        <v>21</v>
      </c>
      <c r="D928" t="s">
        <v>20</v>
      </c>
      <c r="E928">
        <v>1</v>
      </c>
      <c r="F928">
        <v>4500</v>
      </c>
      <c r="G928" s="2">
        <f t="shared" si="42"/>
        <v>4500</v>
      </c>
      <c r="H928" t="str">
        <f t="shared" si="43"/>
        <v>Low</v>
      </c>
      <c r="I928" t="s">
        <v>8</v>
      </c>
      <c r="L928" t="s">
        <v>9</v>
      </c>
      <c r="M928" s="3">
        <f t="shared" si="44"/>
        <v>1849750</v>
      </c>
    </row>
    <row r="929" spans="1:13" ht="15.75" x14ac:dyDescent="0.3">
      <c r="A929" s="1">
        <v>45385</v>
      </c>
      <c r="B929" t="s">
        <v>19</v>
      </c>
      <c r="C929" t="s">
        <v>21</v>
      </c>
      <c r="D929" t="s">
        <v>10</v>
      </c>
      <c r="E929">
        <v>5</v>
      </c>
      <c r="F929">
        <v>8500</v>
      </c>
      <c r="G929" s="2">
        <f t="shared" si="42"/>
        <v>42500</v>
      </c>
      <c r="H929" t="str">
        <f t="shared" si="43"/>
        <v>High</v>
      </c>
      <c r="I929" t="s">
        <v>11</v>
      </c>
      <c r="L929" t="s">
        <v>19</v>
      </c>
      <c r="M929" s="3">
        <f t="shared" si="44"/>
        <v>2179300</v>
      </c>
    </row>
    <row r="930" spans="1:13" ht="15.75" x14ac:dyDescent="0.3">
      <c r="A930" s="1">
        <v>45531</v>
      </c>
      <c r="B930" t="s">
        <v>25</v>
      </c>
      <c r="C930" t="s">
        <v>21</v>
      </c>
      <c r="D930" t="s">
        <v>17</v>
      </c>
      <c r="E930">
        <v>2</v>
      </c>
      <c r="F930">
        <v>300</v>
      </c>
      <c r="G930" s="2">
        <f t="shared" si="42"/>
        <v>600</v>
      </c>
      <c r="H930" t="str">
        <f t="shared" si="43"/>
        <v>Low</v>
      </c>
      <c r="I930" t="s">
        <v>11</v>
      </c>
      <c r="L930" t="s">
        <v>25</v>
      </c>
      <c r="M930" s="3">
        <f t="shared" si="44"/>
        <v>2243250</v>
      </c>
    </row>
    <row r="931" spans="1:13" ht="15.75" x14ac:dyDescent="0.3">
      <c r="A931" s="1">
        <v>45621</v>
      </c>
      <c r="B931" t="s">
        <v>23</v>
      </c>
      <c r="C931" t="s">
        <v>6</v>
      </c>
      <c r="D931" t="s">
        <v>17</v>
      </c>
      <c r="E931">
        <v>5</v>
      </c>
      <c r="F931">
        <v>4500</v>
      </c>
      <c r="G931" s="2">
        <f t="shared" si="42"/>
        <v>22500</v>
      </c>
      <c r="H931" t="str">
        <f t="shared" si="43"/>
        <v>High</v>
      </c>
      <c r="I931" t="s">
        <v>14</v>
      </c>
      <c r="L931" t="s">
        <v>23</v>
      </c>
      <c r="M931" s="3">
        <f t="shared" si="44"/>
        <v>2202100</v>
      </c>
    </row>
    <row r="932" spans="1:13" ht="15.75" x14ac:dyDescent="0.3">
      <c r="A932" s="1">
        <v>45653</v>
      </c>
      <c r="B932" t="s">
        <v>26</v>
      </c>
      <c r="C932" t="s">
        <v>21</v>
      </c>
      <c r="D932" t="s">
        <v>10</v>
      </c>
      <c r="E932">
        <v>7</v>
      </c>
      <c r="F932">
        <v>4500</v>
      </c>
      <c r="G932" s="2">
        <f t="shared" si="42"/>
        <v>31500</v>
      </c>
      <c r="H932" t="str">
        <f t="shared" si="43"/>
        <v>High</v>
      </c>
      <c r="I932" t="s">
        <v>8</v>
      </c>
      <c r="L932" t="s">
        <v>26</v>
      </c>
      <c r="M932" s="3">
        <f t="shared" si="44"/>
        <v>2430500</v>
      </c>
    </row>
    <row r="933" spans="1:13" ht="15.75" x14ac:dyDescent="0.3">
      <c r="A933" s="1">
        <v>45524</v>
      </c>
      <c r="B933" t="s">
        <v>19</v>
      </c>
      <c r="C933" t="s">
        <v>16</v>
      </c>
      <c r="D933" t="s">
        <v>20</v>
      </c>
      <c r="E933">
        <v>1</v>
      </c>
      <c r="F933">
        <v>300</v>
      </c>
      <c r="G933" s="2">
        <f t="shared" si="42"/>
        <v>300</v>
      </c>
      <c r="H933" t="str">
        <f t="shared" si="43"/>
        <v>Low</v>
      </c>
      <c r="I933" t="s">
        <v>8</v>
      </c>
      <c r="L933" t="s">
        <v>19</v>
      </c>
      <c r="M933" s="3">
        <f t="shared" si="44"/>
        <v>2179300</v>
      </c>
    </row>
    <row r="934" spans="1:13" ht="15.75" x14ac:dyDescent="0.3">
      <c r="A934" s="1">
        <v>45602</v>
      </c>
      <c r="B934" t="s">
        <v>15</v>
      </c>
      <c r="C934" t="s">
        <v>16</v>
      </c>
      <c r="D934" t="s">
        <v>20</v>
      </c>
      <c r="E934">
        <v>5</v>
      </c>
      <c r="F934">
        <v>8500</v>
      </c>
      <c r="G934" s="2">
        <f t="shared" si="42"/>
        <v>42500</v>
      </c>
      <c r="H934" t="str">
        <f t="shared" si="43"/>
        <v>High</v>
      </c>
      <c r="I934" t="s">
        <v>11</v>
      </c>
      <c r="L934" t="s">
        <v>15</v>
      </c>
      <c r="M934" s="3">
        <f t="shared" si="44"/>
        <v>2145050</v>
      </c>
    </row>
    <row r="935" spans="1:13" ht="15.75" x14ac:dyDescent="0.3">
      <c r="A935" s="1">
        <v>45556</v>
      </c>
      <c r="B935" t="s">
        <v>15</v>
      </c>
      <c r="C935" t="s">
        <v>6</v>
      </c>
      <c r="D935" t="s">
        <v>17</v>
      </c>
      <c r="E935">
        <v>5</v>
      </c>
      <c r="F935">
        <v>8500</v>
      </c>
      <c r="G935" s="2">
        <f t="shared" si="42"/>
        <v>42500</v>
      </c>
      <c r="H935" t="str">
        <f t="shared" si="43"/>
        <v>High</v>
      </c>
      <c r="I935" t="s">
        <v>14</v>
      </c>
      <c r="L935" t="s">
        <v>15</v>
      </c>
      <c r="M935" s="3">
        <f t="shared" si="44"/>
        <v>2145050</v>
      </c>
    </row>
    <row r="936" spans="1:13" ht="15.75" x14ac:dyDescent="0.3">
      <c r="A936" s="1">
        <v>45472</v>
      </c>
      <c r="B936" t="s">
        <v>15</v>
      </c>
      <c r="C936" t="s">
        <v>13</v>
      </c>
      <c r="D936" t="s">
        <v>18</v>
      </c>
      <c r="E936">
        <v>2</v>
      </c>
      <c r="F936">
        <v>4500</v>
      </c>
      <c r="G936" s="2">
        <f t="shared" si="42"/>
        <v>9000</v>
      </c>
      <c r="H936" t="str">
        <f t="shared" si="43"/>
        <v>Low</v>
      </c>
      <c r="I936" t="s">
        <v>8</v>
      </c>
      <c r="L936" t="s">
        <v>15</v>
      </c>
      <c r="M936" s="3">
        <f t="shared" si="44"/>
        <v>2145050</v>
      </c>
    </row>
    <row r="937" spans="1:13" ht="15.75" x14ac:dyDescent="0.3">
      <c r="A937" s="1">
        <v>45385</v>
      </c>
      <c r="B937" t="s">
        <v>12</v>
      </c>
      <c r="C937" t="s">
        <v>21</v>
      </c>
      <c r="D937" t="s">
        <v>7</v>
      </c>
      <c r="E937">
        <v>10</v>
      </c>
      <c r="F937">
        <v>3200</v>
      </c>
      <c r="G937" s="2">
        <f t="shared" si="42"/>
        <v>32000</v>
      </c>
      <c r="H937" t="str">
        <f t="shared" si="43"/>
        <v>High</v>
      </c>
      <c r="I937" t="s">
        <v>8</v>
      </c>
      <c r="L937" t="s">
        <v>12</v>
      </c>
      <c r="M937" s="3">
        <f t="shared" si="44"/>
        <v>2865050</v>
      </c>
    </row>
    <row r="938" spans="1:13" ht="15.75" x14ac:dyDescent="0.3">
      <c r="A938" s="1">
        <v>45643</v>
      </c>
      <c r="B938" t="s">
        <v>23</v>
      </c>
      <c r="C938" t="s">
        <v>21</v>
      </c>
      <c r="D938" t="s">
        <v>10</v>
      </c>
      <c r="E938">
        <v>10</v>
      </c>
      <c r="F938">
        <v>150</v>
      </c>
      <c r="G938" s="2">
        <f t="shared" si="42"/>
        <v>1500</v>
      </c>
      <c r="H938" t="str">
        <f t="shared" si="43"/>
        <v>Low</v>
      </c>
      <c r="I938" t="s">
        <v>8</v>
      </c>
      <c r="L938" t="s">
        <v>23</v>
      </c>
      <c r="M938" s="3">
        <f t="shared" si="44"/>
        <v>2202100</v>
      </c>
    </row>
    <row r="939" spans="1:13" ht="15.75" x14ac:dyDescent="0.3">
      <c r="A939" s="1">
        <v>45317</v>
      </c>
      <c r="B939" t="s">
        <v>23</v>
      </c>
      <c r="C939" t="s">
        <v>6</v>
      </c>
      <c r="D939" t="s">
        <v>20</v>
      </c>
      <c r="E939">
        <v>8</v>
      </c>
      <c r="F939">
        <v>300</v>
      </c>
      <c r="G939" s="2">
        <f t="shared" si="42"/>
        <v>2400</v>
      </c>
      <c r="H939" t="str">
        <f t="shared" si="43"/>
        <v>Low</v>
      </c>
      <c r="I939" t="s">
        <v>11</v>
      </c>
      <c r="L939" t="s">
        <v>23</v>
      </c>
      <c r="M939" s="3">
        <f t="shared" si="44"/>
        <v>2202100</v>
      </c>
    </row>
    <row r="940" spans="1:13" ht="15.75" x14ac:dyDescent="0.3">
      <c r="A940" s="1">
        <v>45440</v>
      </c>
      <c r="B940" t="s">
        <v>9</v>
      </c>
      <c r="C940" t="s">
        <v>6</v>
      </c>
      <c r="D940" t="s">
        <v>18</v>
      </c>
      <c r="E940">
        <v>8</v>
      </c>
      <c r="F940">
        <v>8500</v>
      </c>
      <c r="G940" s="2">
        <f t="shared" si="42"/>
        <v>68000</v>
      </c>
      <c r="H940" t="str">
        <f t="shared" si="43"/>
        <v>High</v>
      </c>
      <c r="I940" t="s">
        <v>8</v>
      </c>
      <c r="L940" t="s">
        <v>9</v>
      </c>
      <c r="M940" s="3">
        <f t="shared" si="44"/>
        <v>1849750</v>
      </c>
    </row>
    <row r="941" spans="1:13" ht="15.75" x14ac:dyDescent="0.3">
      <c r="A941" s="1">
        <v>45423</v>
      </c>
      <c r="B941" t="s">
        <v>23</v>
      </c>
      <c r="C941" t="s">
        <v>6</v>
      </c>
      <c r="D941" t="s">
        <v>17</v>
      </c>
      <c r="E941">
        <v>7</v>
      </c>
      <c r="F941">
        <v>3200</v>
      </c>
      <c r="G941" s="2">
        <f t="shared" si="42"/>
        <v>22400</v>
      </c>
      <c r="H941" t="str">
        <f t="shared" si="43"/>
        <v>High</v>
      </c>
      <c r="I941" t="s">
        <v>11</v>
      </c>
      <c r="L941" t="s">
        <v>23</v>
      </c>
      <c r="M941" s="3">
        <f t="shared" si="44"/>
        <v>2202100</v>
      </c>
    </row>
    <row r="942" spans="1:13" ht="15.75" x14ac:dyDescent="0.3">
      <c r="A942" s="1">
        <v>45604</v>
      </c>
      <c r="B942" t="s">
        <v>26</v>
      </c>
      <c r="C942" t="s">
        <v>22</v>
      </c>
      <c r="D942" t="s">
        <v>20</v>
      </c>
      <c r="E942">
        <v>5</v>
      </c>
      <c r="F942">
        <v>4500</v>
      </c>
      <c r="G942" s="2">
        <f t="shared" si="42"/>
        <v>22500</v>
      </c>
      <c r="H942" t="str">
        <f t="shared" si="43"/>
        <v>High</v>
      </c>
      <c r="I942" t="s">
        <v>14</v>
      </c>
      <c r="L942" t="s">
        <v>26</v>
      </c>
      <c r="M942" s="3">
        <f t="shared" si="44"/>
        <v>2430500</v>
      </c>
    </row>
    <row r="943" spans="1:13" ht="15.75" x14ac:dyDescent="0.3">
      <c r="A943" s="1">
        <v>45426</v>
      </c>
      <c r="B943" t="s">
        <v>23</v>
      </c>
      <c r="C943" t="s">
        <v>21</v>
      </c>
      <c r="D943" t="s">
        <v>20</v>
      </c>
      <c r="E943">
        <v>9</v>
      </c>
      <c r="F943">
        <v>8500</v>
      </c>
      <c r="G943" s="2">
        <f t="shared" si="42"/>
        <v>76500</v>
      </c>
      <c r="H943" t="str">
        <f t="shared" si="43"/>
        <v>High</v>
      </c>
      <c r="I943" t="s">
        <v>8</v>
      </c>
      <c r="L943" t="s">
        <v>23</v>
      </c>
      <c r="M943" s="3">
        <f t="shared" si="44"/>
        <v>2202100</v>
      </c>
    </row>
    <row r="944" spans="1:13" ht="15.75" x14ac:dyDescent="0.3">
      <c r="A944" s="1">
        <v>45391</v>
      </c>
      <c r="B944" t="s">
        <v>23</v>
      </c>
      <c r="C944" t="s">
        <v>22</v>
      </c>
      <c r="D944" t="s">
        <v>17</v>
      </c>
      <c r="E944">
        <v>6</v>
      </c>
      <c r="F944">
        <v>8500</v>
      </c>
      <c r="G944" s="2">
        <f t="shared" si="42"/>
        <v>51000</v>
      </c>
      <c r="H944" t="str">
        <f t="shared" si="43"/>
        <v>High</v>
      </c>
      <c r="I944" t="s">
        <v>14</v>
      </c>
      <c r="L944" t="s">
        <v>23</v>
      </c>
      <c r="M944" s="3">
        <f t="shared" si="44"/>
        <v>2202100</v>
      </c>
    </row>
    <row r="945" spans="1:13" ht="15.75" x14ac:dyDescent="0.3">
      <c r="A945" s="1">
        <v>45607</v>
      </c>
      <c r="B945" t="s">
        <v>12</v>
      </c>
      <c r="C945" t="s">
        <v>13</v>
      </c>
      <c r="D945" t="s">
        <v>17</v>
      </c>
      <c r="E945">
        <v>7</v>
      </c>
      <c r="F945">
        <v>4500</v>
      </c>
      <c r="G945" s="2">
        <f t="shared" si="42"/>
        <v>31500</v>
      </c>
      <c r="H945" t="str">
        <f t="shared" si="43"/>
        <v>High</v>
      </c>
      <c r="I945" t="s">
        <v>14</v>
      </c>
      <c r="L945" t="s">
        <v>12</v>
      </c>
      <c r="M945" s="3">
        <f t="shared" si="44"/>
        <v>2865050</v>
      </c>
    </row>
    <row r="946" spans="1:13" ht="15.75" x14ac:dyDescent="0.3">
      <c r="A946" s="1">
        <v>45646</v>
      </c>
      <c r="B946" t="s">
        <v>23</v>
      </c>
      <c r="C946" t="s">
        <v>13</v>
      </c>
      <c r="D946" t="s">
        <v>7</v>
      </c>
      <c r="E946">
        <v>7</v>
      </c>
      <c r="F946">
        <v>4500</v>
      </c>
      <c r="G946" s="2">
        <f t="shared" si="42"/>
        <v>31500</v>
      </c>
      <c r="H946" t="str">
        <f t="shared" si="43"/>
        <v>High</v>
      </c>
      <c r="I946" t="s">
        <v>11</v>
      </c>
      <c r="L946" t="s">
        <v>23</v>
      </c>
      <c r="M946" s="3">
        <f t="shared" si="44"/>
        <v>2202100</v>
      </c>
    </row>
    <row r="947" spans="1:13" ht="15.75" x14ac:dyDescent="0.3">
      <c r="A947" s="1">
        <v>45473</v>
      </c>
      <c r="B947" t="s">
        <v>26</v>
      </c>
      <c r="C947" t="s">
        <v>22</v>
      </c>
      <c r="D947" t="s">
        <v>20</v>
      </c>
      <c r="E947">
        <v>2</v>
      </c>
      <c r="F947">
        <v>150</v>
      </c>
      <c r="G947" s="2">
        <f t="shared" si="42"/>
        <v>300</v>
      </c>
      <c r="H947" t="str">
        <f t="shared" si="43"/>
        <v>Low</v>
      </c>
      <c r="I947" t="s">
        <v>8</v>
      </c>
      <c r="L947" t="s">
        <v>26</v>
      </c>
      <c r="M947" s="3">
        <f t="shared" si="44"/>
        <v>2430500</v>
      </c>
    </row>
    <row r="948" spans="1:13" ht="15.75" x14ac:dyDescent="0.3">
      <c r="A948" s="1">
        <v>45329</v>
      </c>
      <c r="B948" t="s">
        <v>24</v>
      </c>
      <c r="C948" t="s">
        <v>16</v>
      </c>
      <c r="D948" t="s">
        <v>20</v>
      </c>
      <c r="E948">
        <v>8</v>
      </c>
      <c r="F948">
        <v>8500</v>
      </c>
      <c r="G948" s="2">
        <f t="shared" si="42"/>
        <v>68000</v>
      </c>
      <c r="H948" t="str">
        <f t="shared" si="43"/>
        <v>High</v>
      </c>
      <c r="I948" t="s">
        <v>8</v>
      </c>
      <c r="L948" t="s">
        <v>24</v>
      </c>
      <c r="M948" s="3">
        <f t="shared" si="44"/>
        <v>2514250</v>
      </c>
    </row>
    <row r="949" spans="1:13" ht="15.75" x14ac:dyDescent="0.3">
      <c r="A949" s="1">
        <v>45515</v>
      </c>
      <c r="B949" t="s">
        <v>23</v>
      </c>
      <c r="C949" t="s">
        <v>13</v>
      </c>
      <c r="D949" t="s">
        <v>20</v>
      </c>
      <c r="E949">
        <v>2</v>
      </c>
      <c r="F949">
        <v>8500</v>
      </c>
      <c r="G949" s="2">
        <f t="shared" si="42"/>
        <v>17000</v>
      </c>
      <c r="H949" t="str">
        <f t="shared" si="43"/>
        <v>High</v>
      </c>
      <c r="I949" t="s">
        <v>11</v>
      </c>
      <c r="L949" t="s">
        <v>23</v>
      </c>
      <c r="M949" s="3">
        <f t="shared" si="44"/>
        <v>2202100</v>
      </c>
    </row>
    <row r="950" spans="1:13" ht="15.75" x14ac:dyDescent="0.3">
      <c r="A950" s="1">
        <v>45353</v>
      </c>
      <c r="B950" t="s">
        <v>26</v>
      </c>
      <c r="C950" t="s">
        <v>16</v>
      </c>
      <c r="D950" t="s">
        <v>18</v>
      </c>
      <c r="E950">
        <v>3</v>
      </c>
      <c r="F950">
        <v>8500</v>
      </c>
      <c r="G950" s="2">
        <f t="shared" si="42"/>
        <v>25500</v>
      </c>
      <c r="H950" t="str">
        <f t="shared" si="43"/>
        <v>High</v>
      </c>
      <c r="I950" t="s">
        <v>14</v>
      </c>
      <c r="L950" t="s">
        <v>26</v>
      </c>
      <c r="M950" s="3">
        <f t="shared" si="44"/>
        <v>2430500</v>
      </c>
    </row>
    <row r="951" spans="1:13" ht="15.75" x14ac:dyDescent="0.3">
      <c r="A951" s="1">
        <v>45567</v>
      </c>
      <c r="B951" t="s">
        <v>19</v>
      </c>
      <c r="C951" t="s">
        <v>21</v>
      </c>
      <c r="D951" t="s">
        <v>20</v>
      </c>
      <c r="E951">
        <v>2</v>
      </c>
      <c r="F951">
        <v>3200</v>
      </c>
      <c r="G951" s="2">
        <f t="shared" si="42"/>
        <v>6400</v>
      </c>
      <c r="H951" t="str">
        <f t="shared" si="43"/>
        <v>Low</v>
      </c>
      <c r="I951" t="s">
        <v>8</v>
      </c>
      <c r="L951" t="s">
        <v>19</v>
      </c>
      <c r="M951" s="3">
        <f t="shared" si="44"/>
        <v>2179300</v>
      </c>
    </row>
    <row r="952" spans="1:13" ht="15.75" x14ac:dyDescent="0.3">
      <c r="A952" s="1">
        <v>45595</v>
      </c>
      <c r="B952" t="s">
        <v>19</v>
      </c>
      <c r="C952" t="s">
        <v>21</v>
      </c>
      <c r="D952" t="s">
        <v>10</v>
      </c>
      <c r="E952">
        <v>6</v>
      </c>
      <c r="F952">
        <v>8500</v>
      </c>
      <c r="G952" s="2">
        <f t="shared" si="42"/>
        <v>51000</v>
      </c>
      <c r="H952" t="str">
        <f t="shared" si="43"/>
        <v>High</v>
      </c>
      <c r="I952" t="s">
        <v>11</v>
      </c>
      <c r="L952" t="s">
        <v>19</v>
      </c>
      <c r="M952" s="3">
        <f t="shared" si="44"/>
        <v>2179300</v>
      </c>
    </row>
    <row r="953" spans="1:13" ht="15.75" x14ac:dyDescent="0.3">
      <c r="A953" s="1">
        <v>45634</v>
      </c>
      <c r="B953" t="s">
        <v>25</v>
      </c>
      <c r="C953" t="s">
        <v>21</v>
      </c>
      <c r="D953" t="s">
        <v>10</v>
      </c>
      <c r="E953">
        <v>2</v>
      </c>
      <c r="F953">
        <v>300</v>
      </c>
      <c r="G953" s="2">
        <f t="shared" si="42"/>
        <v>600</v>
      </c>
      <c r="H953" t="str">
        <f t="shared" si="43"/>
        <v>Low</v>
      </c>
      <c r="I953" t="s">
        <v>11</v>
      </c>
      <c r="L953" t="s">
        <v>25</v>
      </c>
      <c r="M953" s="3">
        <f t="shared" si="44"/>
        <v>2243250</v>
      </c>
    </row>
    <row r="954" spans="1:13" ht="15.75" x14ac:dyDescent="0.3">
      <c r="A954" s="1">
        <v>45448</v>
      </c>
      <c r="B954" t="s">
        <v>24</v>
      </c>
      <c r="C954" t="s">
        <v>6</v>
      </c>
      <c r="D954" t="s">
        <v>18</v>
      </c>
      <c r="E954">
        <v>3</v>
      </c>
      <c r="F954">
        <v>300</v>
      </c>
      <c r="G954" s="2">
        <f t="shared" si="42"/>
        <v>900</v>
      </c>
      <c r="H954" t="str">
        <f t="shared" si="43"/>
        <v>Low</v>
      </c>
      <c r="I954" t="s">
        <v>14</v>
      </c>
      <c r="L954" t="s">
        <v>24</v>
      </c>
      <c r="M954" s="3">
        <f t="shared" si="44"/>
        <v>2514250</v>
      </c>
    </row>
    <row r="955" spans="1:13" ht="15.75" x14ac:dyDescent="0.3">
      <c r="A955" s="1">
        <v>45593</v>
      </c>
      <c r="B955" t="s">
        <v>25</v>
      </c>
      <c r="C955" t="s">
        <v>16</v>
      </c>
      <c r="D955" t="s">
        <v>7</v>
      </c>
      <c r="E955">
        <v>9</v>
      </c>
      <c r="F955">
        <v>3200</v>
      </c>
      <c r="G955" s="2">
        <f t="shared" si="42"/>
        <v>28800</v>
      </c>
      <c r="H955" t="str">
        <f t="shared" si="43"/>
        <v>High</v>
      </c>
      <c r="I955" t="s">
        <v>14</v>
      </c>
      <c r="L955" t="s">
        <v>25</v>
      </c>
      <c r="M955" s="3">
        <f t="shared" si="44"/>
        <v>2243250</v>
      </c>
    </row>
    <row r="956" spans="1:13" ht="15.75" x14ac:dyDescent="0.3">
      <c r="A956" s="1">
        <v>45328</v>
      </c>
      <c r="B956" t="s">
        <v>23</v>
      </c>
      <c r="C956" t="s">
        <v>6</v>
      </c>
      <c r="D956" t="s">
        <v>18</v>
      </c>
      <c r="E956">
        <v>9</v>
      </c>
      <c r="F956">
        <v>150</v>
      </c>
      <c r="G956" s="2">
        <f t="shared" si="42"/>
        <v>1350</v>
      </c>
      <c r="H956" t="str">
        <f t="shared" si="43"/>
        <v>Low</v>
      </c>
      <c r="I956" t="s">
        <v>14</v>
      </c>
      <c r="L956" t="s">
        <v>23</v>
      </c>
      <c r="M956" s="3">
        <f t="shared" si="44"/>
        <v>2202100</v>
      </c>
    </row>
    <row r="957" spans="1:13" ht="15.75" x14ac:dyDescent="0.3">
      <c r="A957" s="1">
        <v>45512</v>
      </c>
      <c r="B957" t="s">
        <v>24</v>
      </c>
      <c r="C957" t="s">
        <v>21</v>
      </c>
      <c r="D957" t="s">
        <v>20</v>
      </c>
      <c r="E957">
        <v>1</v>
      </c>
      <c r="F957">
        <v>3200</v>
      </c>
      <c r="G957" s="2">
        <f t="shared" si="42"/>
        <v>3200</v>
      </c>
      <c r="H957" t="str">
        <f t="shared" si="43"/>
        <v>Low</v>
      </c>
      <c r="I957" t="s">
        <v>14</v>
      </c>
      <c r="L957" t="s">
        <v>24</v>
      </c>
      <c r="M957" s="3">
        <f t="shared" si="44"/>
        <v>2514250</v>
      </c>
    </row>
    <row r="958" spans="1:13" ht="15.75" x14ac:dyDescent="0.3">
      <c r="A958" s="1">
        <v>45513</v>
      </c>
      <c r="B958" t="s">
        <v>12</v>
      </c>
      <c r="C958" t="s">
        <v>21</v>
      </c>
      <c r="D958" t="s">
        <v>10</v>
      </c>
      <c r="E958">
        <v>9</v>
      </c>
      <c r="F958">
        <v>8500</v>
      </c>
      <c r="G958" s="2">
        <f t="shared" si="42"/>
        <v>76500</v>
      </c>
      <c r="H958" t="str">
        <f t="shared" si="43"/>
        <v>High</v>
      </c>
      <c r="I958" t="s">
        <v>14</v>
      </c>
      <c r="L958" t="s">
        <v>12</v>
      </c>
      <c r="M958" s="3">
        <f t="shared" si="44"/>
        <v>2865050</v>
      </c>
    </row>
    <row r="959" spans="1:13" ht="15.75" x14ac:dyDescent="0.3">
      <c r="A959" s="1">
        <v>45590</v>
      </c>
      <c r="B959" t="s">
        <v>15</v>
      </c>
      <c r="C959" t="s">
        <v>6</v>
      </c>
      <c r="D959" t="s">
        <v>10</v>
      </c>
      <c r="E959">
        <v>6</v>
      </c>
      <c r="F959">
        <v>300</v>
      </c>
      <c r="G959" s="2">
        <f t="shared" si="42"/>
        <v>1800</v>
      </c>
      <c r="H959" t="str">
        <f t="shared" si="43"/>
        <v>Low</v>
      </c>
      <c r="I959" t="s">
        <v>14</v>
      </c>
      <c r="L959" t="s">
        <v>15</v>
      </c>
      <c r="M959" s="3">
        <f t="shared" si="44"/>
        <v>2145050</v>
      </c>
    </row>
    <row r="960" spans="1:13" ht="15.75" x14ac:dyDescent="0.3">
      <c r="A960" s="1">
        <v>45484</v>
      </c>
      <c r="B960" t="s">
        <v>19</v>
      </c>
      <c r="C960" t="s">
        <v>22</v>
      </c>
      <c r="D960" t="s">
        <v>7</v>
      </c>
      <c r="E960">
        <v>9</v>
      </c>
      <c r="F960">
        <v>300</v>
      </c>
      <c r="G960" s="2">
        <f t="shared" si="42"/>
        <v>2700</v>
      </c>
      <c r="H960" t="str">
        <f t="shared" si="43"/>
        <v>Low</v>
      </c>
      <c r="I960" t="s">
        <v>14</v>
      </c>
      <c r="L960" t="s">
        <v>19</v>
      </c>
      <c r="M960" s="3">
        <f t="shared" si="44"/>
        <v>2179300</v>
      </c>
    </row>
    <row r="961" spans="1:13" ht="15.75" x14ac:dyDescent="0.3">
      <c r="A961" s="1">
        <v>45508</v>
      </c>
      <c r="B961" t="s">
        <v>23</v>
      </c>
      <c r="C961" t="s">
        <v>13</v>
      </c>
      <c r="D961" t="s">
        <v>18</v>
      </c>
      <c r="E961">
        <v>6</v>
      </c>
      <c r="F961">
        <v>150</v>
      </c>
      <c r="G961" s="2">
        <f t="shared" si="42"/>
        <v>900</v>
      </c>
      <c r="H961" t="str">
        <f t="shared" si="43"/>
        <v>Low</v>
      </c>
      <c r="I961" t="s">
        <v>8</v>
      </c>
      <c r="L961" t="s">
        <v>23</v>
      </c>
      <c r="M961" s="3">
        <f t="shared" si="44"/>
        <v>2202100</v>
      </c>
    </row>
    <row r="962" spans="1:13" ht="15.75" x14ac:dyDescent="0.3">
      <c r="A962" s="1">
        <v>45368</v>
      </c>
      <c r="B962" t="s">
        <v>15</v>
      </c>
      <c r="C962" t="s">
        <v>16</v>
      </c>
      <c r="D962" t="s">
        <v>17</v>
      </c>
      <c r="E962">
        <v>5</v>
      </c>
      <c r="F962">
        <v>3200</v>
      </c>
      <c r="G962" s="2">
        <f t="shared" si="42"/>
        <v>16000</v>
      </c>
      <c r="H962" t="str">
        <f t="shared" si="43"/>
        <v>High</v>
      </c>
      <c r="I962" t="s">
        <v>11</v>
      </c>
      <c r="L962" t="s">
        <v>15</v>
      </c>
      <c r="M962" s="3">
        <f t="shared" si="44"/>
        <v>2145050</v>
      </c>
    </row>
    <row r="963" spans="1:13" ht="15.75" x14ac:dyDescent="0.3">
      <c r="A963" s="1">
        <v>45327</v>
      </c>
      <c r="B963" t="s">
        <v>12</v>
      </c>
      <c r="C963" t="s">
        <v>13</v>
      </c>
      <c r="D963" t="s">
        <v>10</v>
      </c>
      <c r="E963">
        <v>7</v>
      </c>
      <c r="F963">
        <v>4500</v>
      </c>
      <c r="G963" s="2">
        <f t="shared" ref="G963:G1001" si="45">E963*F963</f>
        <v>31500</v>
      </c>
      <c r="H963" t="str">
        <f t="shared" ref="H963:H1001" si="46">IF(G963&gt;=10000,"High","Low")</f>
        <v>High</v>
      </c>
      <c r="I963" t="s">
        <v>11</v>
      </c>
      <c r="L963" t="s">
        <v>12</v>
      </c>
      <c r="M963" s="3">
        <f t="shared" ref="M963:M1001" si="47">SUMIF(B:B,L963,G:G)</f>
        <v>2865050</v>
      </c>
    </row>
    <row r="964" spans="1:13" ht="15.75" x14ac:dyDescent="0.3">
      <c r="A964" s="1">
        <v>45631</v>
      </c>
      <c r="B964" t="s">
        <v>9</v>
      </c>
      <c r="C964" t="s">
        <v>21</v>
      </c>
      <c r="D964" t="s">
        <v>7</v>
      </c>
      <c r="E964">
        <v>9</v>
      </c>
      <c r="F964">
        <v>300</v>
      </c>
      <c r="G964" s="2">
        <f t="shared" si="45"/>
        <v>2700</v>
      </c>
      <c r="H964" t="str">
        <f t="shared" si="46"/>
        <v>Low</v>
      </c>
      <c r="I964" t="s">
        <v>11</v>
      </c>
      <c r="L964" t="s">
        <v>9</v>
      </c>
      <c r="M964" s="3">
        <f t="shared" si="47"/>
        <v>1849750</v>
      </c>
    </row>
    <row r="965" spans="1:13" ht="15.75" x14ac:dyDescent="0.3">
      <c r="A965" s="1">
        <v>45341</v>
      </c>
      <c r="B965" t="s">
        <v>26</v>
      </c>
      <c r="C965" t="s">
        <v>22</v>
      </c>
      <c r="D965" t="s">
        <v>10</v>
      </c>
      <c r="E965">
        <v>2</v>
      </c>
      <c r="F965">
        <v>150</v>
      </c>
      <c r="G965" s="2">
        <f t="shared" si="45"/>
        <v>300</v>
      </c>
      <c r="H965" t="str">
        <f t="shared" si="46"/>
        <v>Low</v>
      </c>
      <c r="I965" t="s">
        <v>8</v>
      </c>
      <c r="L965" t="s">
        <v>26</v>
      </c>
      <c r="M965" s="3">
        <f t="shared" si="47"/>
        <v>2430500</v>
      </c>
    </row>
    <row r="966" spans="1:13" ht="15.75" x14ac:dyDescent="0.3">
      <c r="A966" s="1">
        <v>45548</v>
      </c>
      <c r="B966" t="s">
        <v>19</v>
      </c>
      <c r="C966" t="s">
        <v>16</v>
      </c>
      <c r="D966" t="s">
        <v>7</v>
      </c>
      <c r="E966">
        <v>10</v>
      </c>
      <c r="F966">
        <v>300</v>
      </c>
      <c r="G966" s="2">
        <f t="shared" si="45"/>
        <v>3000</v>
      </c>
      <c r="H966" t="str">
        <f t="shared" si="46"/>
        <v>Low</v>
      </c>
      <c r="I966" t="s">
        <v>11</v>
      </c>
      <c r="L966" t="s">
        <v>19</v>
      </c>
      <c r="M966" s="3">
        <f t="shared" si="47"/>
        <v>2179300</v>
      </c>
    </row>
    <row r="967" spans="1:13" ht="15.75" x14ac:dyDescent="0.3">
      <c r="A967" s="1">
        <v>45523</v>
      </c>
      <c r="B967" t="s">
        <v>23</v>
      </c>
      <c r="C967" t="s">
        <v>22</v>
      </c>
      <c r="D967" t="s">
        <v>17</v>
      </c>
      <c r="E967">
        <v>8</v>
      </c>
      <c r="F967">
        <v>150</v>
      </c>
      <c r="G967" s="2">
        <f t="shared" si="45"/>
        <v>1200</v>
      </c>
      <c r="H967" t="str">
        <f t="shared" si="46"/>
        <v>Low</v>
      </c>
      <c r="I967" t="s">
        <v>8</v>
      </c>
      <c r="L967" t="s">
        <v>23</v>
      </c>
      <c r="M967" s="3">
        <f t="shared" si="47"/>
        <v>2202100</v>
      </c>
    </row>
    <row r="968" spans="1:13" ht="15.75" x14ac:dyDescent="0.3">
      <c r="A968" s="1">
        <v>45334</v>
      </c>
      <c r="B968" t="s">
        <v>9</v>
      </c>
      <c r="C968" t="s">
        <v>22</v>
      </c>
      <c r="D968" t="s">
        <v>20</v>
      </c>
      <c r="E968">
        <v>3</v>
      </c>
      <c r="F968">
        <v>4500</v>
      </c>
      <c r="G968" s="2">
        <f t="shared" si="45"/>
        <v>13500</v>
      </c>
      <c r="H968" t="str">
        <f t="shared" si="46"/>
        <v>High</v>
      </c>
      <c r="I968" t="s">
        <v>8</v>
      </c>
      <c r="L968" t="s">
        <v>9</v>
      </c>
      <c r="M968" s="3">
        <f t="shared" si="47"/>
        <v>1849750</v>
      </c>
    </row>
    <row r="969" spans="1:13" ht="15.75" x14ac:dyDescent="0.3">
      <c r="A969" s="1">
        <v>45556</v>
      </c>
      <c r="B969" t="s">
        <v>26</v>
      </c>
      <c r="C969" t="s">
        <v>13</v>
      </c>
      <c r="D969" t="s">
        <v>18</v>
      </c>
      <c r="E969">
        <v>7</v>
      </c>
      <c r="F969">
        <v>8500</v>
      </c>
      <c r="G969" s="2">
        <f t="shared" si="45"/>
        <v>59500</v>
      </c>
      <c r="H969" t="str">
        <f t="shared" si="46"/>
        <v>High</v>
      </c>
      <c r="I969" t="s">
        <v>14</v>
      </c>
      <c r="L969" t="s">
        <v>26</v>
      </c>
      <c r="M969" s="3">
        <f t="shared" si="47"/>
        <v>2430500</v>
      </c>
    </row>
    <row r="970" spans="1:13" ht="15.75" x14ac:dyDescent="0.3">
      <c r="A970" s="1">
        <v>45608</v>
      </c>
      <c r="B970" t="s">
        <v>19</v>
      </c>
      <c r="C970" t="s">
        <v>21</v>
      </c>
      <c r="D970" t="s">
        <v>18</v>
      </c>
      <c r="E970">
        <v>7</v>
      </c>
      <c r="F970">
        <v>3200</v>
      </c>
      <c r="G970" s="2">
        <f t="shared" si="45"/>
        <v>22400</v>
      </c>
      <c r="H970" t="str">
        <f t="shared" si="46"/>
        <v>High</v>
      </c>
      <c r="I970" t="s">
        <v>8</v>
      </c>
      <c r="L970" t="s">
        <v>19</v>
      </c>
      <c r="M970" s="3">
        <f t="shared" si="47"/>
        <v>2179300</v>
      </c>
    </row>
    <row r="971" spans="1:13" ht="15.75" x14ac:dyDescent="0.3">
      <c r="A971" s="1">
        <v>45612</v>
      </c>
      <c r="B971" t="s">
        <v>9</v>
      </c>
      <c r="C971" t="s">
        <v>21</v>
      </c>
      <c r="D971" t="s">
        <v>10</v>
      </c>
      <c r="E971">
        <v>10</v>
      </c>
      <c r="F971">
        <v>3200</v>
      </c>
      <c r="G971" s="2">
        <f t="shared" si="45"/>
        <v>32000</v>
      </c>
      <c r="H971" t="str">
        <f t="shared" si="46"/>
        <v>High</v>
      </c>
      <c r="I971" t="s">
        <v>8</v>
      </c>
      <c r="L971" t="s">
        <v>9</v>
      </c>
      <c r="M971" s="3">
        <f t="shared" si="47"/>
        <v>1849750</v>
      </c>
    </row>
    <row r="972" spans="1:13" ht="15.75" x14ac:dyDescent="0.3">
      <c r="A972" s="1">
        <v>45395</v>
      </c>
      <c r="B972" t="s">
        <v>24</v>
      </c>
      <c r="C972" t="s">
        <v>16</v>
      </c>
      <c r="D972" t="s">
        <v>10</v>
      </c>
      <c r="E972">
        <v>2</v>
      </c>
      <c r="F972">
        <v>300</v>
      </c>
      <c r="G972" s="2">
        <f t="shared" si="45"/>
        <v>600</v>
      </c>
      <c r="H972" t="str">
        <f t="shared" si="46"/>
        <v>Low</v>
      </c>
      <c r="I972" t="s">
        <v>11</v>
      </c>
      <c r="L972" t="s">
        <v>24</v>
      </c>
      <c r="M972" s="3">
        <f t="shared" si="47"/>
        <v>2514250</v>
      </c>
    </row>
    <row r="973" spans="1:13" ht="15.75" x14ac:dyDescent="0.3">
      <c r="A973" s="1">
        <v>45631</v>
      </c>
      <c r="B973" t="s">
        <v>24</v>
      </c>
      <c r="C973" t="s">
        <v>6</v>
      </c>
      <c r="D973" t="s">
        <v>20</v>
      </c>
      <c r="E973">
        <v>1</v>
      </c>
      <c r="F973">
        <v>300</v>
      </c>
      <c r="G973" s="2">
        <f t="shared" si="45"/>
        <v>300</v>
      </c>
      <c r="H973" t="str">
        <f t="shared" si="46"/>
        <v>Low</v>
      </c>
      <c r="I973" t="s">
        <v>14</v>
      </c>
      <c r="L973" t="s">
        <v>24</v>
      </c>
      <c r="M973" s="3">
        <f t="shared" si="47"/>
        <v>2514250</v>
      </c>
    </row>
    <row r="974" spans="1:13" ht="15.75" x14ac:dyDescent="0.3">
      <c r="A974" s="1">
        <v>45622</v>
      </c>
      <c r="B974" t="s">
        <v>12</v>
      </c>
      <c r="C974" t="s">
        <v>13</v>
      </c>
      <c r="D974" t="s">
        <v>20</v>
      </c>
      <c r="E974">
        <v>2</v>
      </c>
      <c r="F974">
        <v>8500</v>
      </c>
      <c r="G974" s="2">
        <f t="shared" si="45"/>
        <v>17000</v>
      </c>
      <c r="H974" t="str">
        <f t="shared" si="46"/>
        <v>High</v>
      </c>
      <c r="I974" t="s">
        <v>8</v>
      </c>
      <c r="L974" t="s">
        <v>12</v>
      </c>
      <c r="M974" s="3">
        <f t="shared" si="47"/>
        <v>2865050</v>
      </c>
    </row>
    <row r="975" spans="1:13" ht="15.75" x14ac:dyDescent="0.3">
      <c r="A975" s="1">
        <v>45594</v>
      </c>
      <c r="B975" t="s">
        <v>23</v>
      </c>
      <c r="C975" t="s">
        <v>13</v>
      </c>
      <c r="D975" t="s">
        <v>10</v>
      </c>
      <c r="E975">
        <v>9</v>
      </c>
      <c r="F975">
        <v>8500</v>
      </c>
      <c r="G975" s="2">
        <f t="shared" si="45"/>
        <v>76500</v>
      </c>
      <c r="H975" t="str">
        <f t="shared" si="46"/>
        <v>High</v>
      </c>
      <c r="I975" t="s">
        <v>14</v>
      </c>
      <c r="L975" t="s">
        <v>23</v>
      </c>
      <c r="M975" s="3">
        <f t="shared" si="47"/>
        <v>2202100</v>
      </c>
    </row>
    <row r="976" spans="1:13" ht="15.75" x14ac:dyDescent="0.3">
      <c r="A976" s="1">
        <v>45596</v>
      </c>
      <c r="B976" t="s">
        <v>26</v>
      </c>
      <c r="C976" t="s">
        <v>22</v>
      </c>
      <c r="D976" t="s">
        <v>7</v>
      </c>
      <c r="E976">
        <v>8</v>
      </c>
      <c r="F976">
        <v>300</v>
      </c>
      <c r="G976" s="2">
        <f t="shared" si="45"/>
        <v>2400</v>
      </c>
      <c r="H976" t="str">
        <f t="shared" si="46"/>
        <v>Low</v>
      </c>
      <c r="I976" t="s">
        <v>11</v>
      </c>
      <c r="L976" t="s">
        <v>26</v>
      </c>
      <c r="M976" s="3">
        <f t="shared" si="47"/>
        <v>2430500</v>
      </c>
    </row>
    <row r="977" spans="1:13" ht="15.75" x14ac:dyDescent="0.3">
      <c r="A977" s="1">
        <v>45317</v>
      </c>
      <c r="B977" t="s">
        <v>24</v>
      </c>
      <c r="C977" t="s">
        <v>6</v>
      </c>
      <c r="D977" t="s">
        <v>18</v>
      </c>
      <c r="E977">
        <v>9</v>
      </c>
      <c r="F977">
        <v>150</v>
      </c>
      <c r="G977" s="2">
        <f t="shared" si="45"/>
        <v>1350</v>
      </c>
      <c r="H977" t="str">
        <f t="shared" si="46"/>
        <v>Low</v>
      </c>
      <c r="I977" t="s">
        <v>11</v>
      </c>
      <c r="L977" t="s">
        <v>24</v>
      </c>
      <c r="M977" s="3">
        <f t="shared" si="47"/>
        <v>2514250</v>
      </c>
    </row>
    <row r="978" spans="1:13" ht="15.75" x14ac:dyDescent="0.3">
      <c r="A978" s="1">
        <v>45322</v>
      </c>
      <c r="B978" t="s">
        <v>26</v>
      </c>
      <c r="C978" t="s">
        <v>13</v>
      </c>
      <c r="D978" t="s">
        <v>18</v>
      </c>
      <c r="E978">
        <v>6</v>
      </c>
      <c r="F978">
        <v>3200</v>
      </c>
      <c r="G978" s="2">
        <f t="shared" si="45"/>
        <v>19200</v>
      </c>
      <c r="H978" t="str">
        <f t="shared" si="46"/>
        <v>High</v>
      </c>
      <c r="I978" t="s">
        <v>14</v>
      </c>
      <c r="L978" t="s">
        <v>26</v>
      </c>
      <c r="M978" s="3">
        <f t="shared" si="47"/>
        <v>2430500</v>
      </c>
    </row>
    <row r="979" spans="1:13" ht="15.75" x14ac:dyDescent="0.3">
      <c r="A979" s="1">
        <v>45534</v>
      </c>
      <c r="B979" t="s">
        <v>15</v>
      </c>
      <c r="C979" t="s">
        <v>13</v>
      </c>
      <c r="D979" t="s">
        <v>20</v>
      </c>
      <c r="E979">
        <v>9</v>
      </c>
      <c r="F979">
        <v>3200</v>
      </c>
      <c r="G979" s="2">
        <f t="shared" si="45"/>
        <v>28800</v>
      </c>
      <c r="H979" t="str">
        <f t="shared" si="46"/>
        <v>High</v>
      </c>
      <c r="I979" t="s">
        <v>14</v>
      </c>
      <c r="L979" t="s">
        <v>15</v>
      </c>
      <c r="M979" s="3">
        <f t="shared" si="47"/>
        <v>2145050</v>
      </c>
    </row>
    <row r="980" spans="1:13" ht="15.75" x14ac:dyDescent="0.3">
      <c r="A980" s="1">
        <v>45464</v>
      </c>
      <c r="B980" t="s">
        <v>19</v>
      </c>
      <c r="C980" t="s">
        <v>21</v>
      </c>
      <c r="D980" t="s">
        <v>17</v>
      </c>
      <c r="E980">
        <v>6</v>
      </c>
      <c r="F980">
        <v>8500</v>
      </c>
      <c r="G980" s="2">
        <f t="shared" si="45"/>
        <v>51000</v>
      </c>
      <c r="H980" t="str">
        <f t="shared" si="46"/>
        <v>High</v>
      </c>
      <c r="I980" t="s">
        <v>8</v>
      </c>
      <c r="L980" t="s">
        <v>19</v>
      </c>
      <c r="M980" s="3">
        <f t="shared" si="47"/>
        <v>2179300</v>
      </c>
    </row>
    <row r="981" spans="1:13" ht="15.75" x14ac:dyDescent="0.3">
      <c r="A981" s="1">
        <v>45440</v>
      </c>
      <c r="B981" t="s">
        <v>26</v>
      </c>
      <c r="C981" t="s">
        <v>16</v>
      </c>
      <c r="D981" t="s">
        <v>20</v>
      </c>
      <c r="E981">
        <v>6</v>
      </c>
      <c r="F981">
        <v>4500</v>
      </c>
      <c r="G981" s="2">
        <f t="shared" si="45"/>
        <v>27000</v>
      </c>
      <c r="H981" t="str">
        <f t="shared" si="46"/>
        <v>High</v>
      </c>
      <c r="I981" t="s">
        <v>14</v>
      </c>
      <c r="L981" t="s">
        <v>26</v>
      </c>
      <c r="M981" s="3">
        <f t="shared" si="47"/>
        <v>2430500</v>
      </c>
    </row>
    <row r="982" spans="1:13" ht="15.75" x14ac:dyDescent="0.3">
      <c r="A982" s="1">
        <v>45310</v>
      </c>
      <c r="B982" t="s">
        <v>9</v>
      </c>
      <c r="C982" t="s">
        <v>16</v>
      </c>
      <c r="D982" t="s">
        <v>20</v>
      </c>
      <c r="E982">
        <v>9</v>
      </c>
      <c r="F982">
        <v>8500</v>
      </c>
      <c r="G982" s="2">
        <f t="shared" si="45"/>
        <v>76500</v>
      </c>
      <c r="H982" t="str">
        <f t="shared" si="46"/>
        <v>High</v>
      </c>
      <c r="I982" t="s">
        <v>14</v>
      </c>
      <c r="L982" t="s">
        <v>9</v>
      </c>
      <c r="M982" s="3">
        <f t="shared" si="47"/>
        <v>1849750</v>
      </c>
    </row>
    <row r="983" spans="1:13" ht="15.75" x14ac:dyDescent="0.3">
      <c r="A983" s="1">
        <v>45425</v>
      </c>
      <c r="B983" t="s">
        <v>26</v>
      </c>
      <c r="C983" t="s">
        <v>16</v>
      </c>
      <c r="D983" t="s">
        <v>7</v>
      </c>
      <c r="E983">
        <v>10</v>
      </c>
      <c r="F983">
        <v>8500</v>
      </c>
      <c r="G983" s="2">
        <f t="shared" si="45"/>
        <v>85000</v>
      </c>
      <c r="H983" t="str">
        <f t="shared" si="46"/>
        <v>High</v>
      </c>
      <c r="I983" t="s">
        <v>14</v>
      </c>
      <c r="L983" t="s">
        <v>26</v>
      </c>
      <c r="M983" s="3">
        <f t="shared" si="47"/>
        <v>2430500</v>
      </c>
    </row>
    <row r="984" spans="1:13" ht="15.75" x14ac:dyDescent="0.3">
      <c r="A984" s="1">
        <v>45558</v>
      </c>
      <c r="B984" t="s">
        <v>12</v>
      </c>
      <c r="C984" t="s">
        <v>16</v>
      </c>
      <c r="D984" t="s">
        <v>18</v>
      </c>
      <c r="E984">
        <v>1</v>
      </c>
      <c r="F984">
        <v>150</v>
      </c>
      <c r="G984" s="2">
        <f t="shared" si="45"/>
        <v>150</v>
      </c>
      <c r="H984" t="str">
        <f t="shared" si="46"/>
        <v>Low</v>
      </c>
      <c r="I984" t="s">
        <v>11</v>
      </c>
      <c r="L984" t="s">
        <v>12</v>
      </c>
      <c r="M984" s="3">
        <f t="shared" si="47"/>
        <v>2865050</v>
      </c>
    </row>
    <row r="985" spans="1:13" ht="15.75" x14ac:dyDescent="0.3">
      <c r="A985" s="1">
        <v>45473</v>
      </c>
      <c r="B985" t="s">
        <v>25</v>
      </c>
      <c r="C985" t="s">
        <v>21</v>
      </c>
      <c r="D985" t="s">
        <v>7</v>
      </c>
      <c r="E985">
        <v>2</v>
      </c>
      <c r="F985">
        <v>3200</v>
      </c>
      <c r="G985" s="2">
        <f t="shared" si="45"/>
        <v>6400</v>
      </c>
      <c r="H985" t="str">
        <f t="shared" si="46"/>
        <v>Low</v>
      </c>
      <c r="I985" t="s">
        <v>14</v>
      </c>
      <c r="L985" t="s">
        <v>25</v>
      </c>
      <c r="M985" s="3">
        <f t="shared" si="47"/>
        <v>2243250</v>
      </c>
    </row>
    <row r="986" spans="1:13" ht="15.75" x14ac:dyDescent="0.3">
      <c r="A986" s="1">
        <v>45655</v>
      </c>
      <c r="B986" t="s">
        <v>26</v>
      </c>
      <c r="C986" t="s">
        <v>22</v>
      </c>
      <c r="D986" t="s">
        <v>7</v>
      </c>
      <c r="E986">
        <v>4</v>
      </c>
      <c r="F986">
        <v>150</v>
      </c>
      <c r="G986" s="2">
        <f t="shared" si="45"/>
        <v>600</v>
      </c>
      <c r="H986" t="str">
        <f t="shared" si="46"/>
        <v>Low</v>
      </c>
      <c r="I986" t="s">
        <v>11</v>
      </c>
      <c r="L986" t="s">
        <v>26</v>
      </c>
      <c r="M986" s="3">
        <f t="shared" si="47"/>
        <v>2430500</v>
      </c>
    </row>
    <row r="987" spans="1:13" ht="15.75" x14ac:dyDescent="0.3">
      <c r="A987" s="1">
        <v>45634</v>
      </c>
      <c r="B987" t="s">
        <v>23</v>
      </c>
      <c r="C987" t="s">
        <v>6</v>
      </c>
      <c r="D987" t="s">
        <v>10</v>
      </c>
      <c r="E987">
        <v>9</v>
      </c>
      <c r="F987">
        <v>150</v>
      </c>
      <c r="G987" s="2">
        <f t="shared" si="45"/>
        <v>1350</v>
      </c>
      <c r="H987" t="str">
        <f t="shared" si="46"/>
        <v>Low</v>
      </c>
      <c r="I987" t="s">
        <v>11</v>
      </c>
      <c r="L987" t="s">
        <v>23</v>
      </c>
      <c r="M987" s="3">
        <f t="shared" si="47"/>
        <v>2202100</v>
      </c>
    </row>
    <row r="988" spans="1:13" ht="15.75" x14ac:dyDescent="0.3">
      <c r="A988" s="1">
        <v>45476</v>
      </c>
      <c r="B988" t="s">
        <v>15</v>
      </c>
      <c r="C988" t="s">
        <v>6</v>
      </c>
      <c r="D988" t="s">
        <v>20</v>
      </c>
      <c r="E988">
        <v>5</v>
      </c>
      <c r="F988">
        <v>300</v>
      </c>
      <c r="G988" s="2">
        <f t="shared" si="45"/>
        <v>1500</v>
      </c>
      <c r="H988" t="str">
        <f t="shared" si="46"/>
        <v>Low</v>
      </c>
      <c r="I988" t="s">
        <v>11</v>
      </c>
      <c r="L988" t="s">
        <v>15</v>
      </c>
      <c r="M988" s="3">
        <f t="shared" si="47"/>
        <v>2145050</v>
      </c>
    </row>
    <row r="989" spans="1:13" ht="15.75" x14ac:dyDescent="0.3">
      <c r="A989" s="1">
        <v>45357</v>
      </c>
      <c r="B989" t="s">
        <v>24</v>
      </c>
      <c r="C989" t="s">
        <v>21</v>
      </c>
      <c r="D989" t="s">
        <v>10</v>
      </c>
      <c r="E989">
        <v>5</v>
      </c>
      <c r="F989">
        <v>8500</v>
      </c>
      <c r="G989" s="2">
        <f t="shared" si="45"/>
        <v>42500</v>
      </c>
      <c r="H989" t="str">
        <f t="shared" si="46"/>
        <v>High</v>
      </c>
      <c r="I989" t="s">
        <v>11</v>
      </c>
      <c r="L989" t="s">
        <v>24</v>
      </c>
      <c r="M989" s="3">
        <f t="shared" si="47"/>
        <v>2514250</v>
      </c>
    </row>
    <row r="990" spans="1:13" ht="15.75" x14ac:dyDescent="0.3">
      <c r="A990" s="1">
        <v>45497</v>
      </c>
      <c r="B990" t="s">
        <v>12</v>
      </c>
      <c r="C990" t="s">
        <v>16</v>
      </c>
      <c r="D990" t="s">
        <v>7</v>
      </c>
      <c r="E990">
        <v>5</v>
      </c>
      <c r="F990">
        <v>300</v>
      </c>
      <c r="G990" s="2">
        <f t="shared" si="45"/>
        <v>1500</v>
      </c>
      <c r="H990" t="str">
        <f t="shared" si="46"/>
        <v>Low</v>
      </c>
      <c r="I990" t="s">
        <v>14</v>
      </c>
      <c r="L990" t="s">
        <v>12</v>
      </c>
      <c r="M990" s="3">
        <f t="shared" si="47"/>
        <v>2865050</v>
      </c>
    </row>
    <row r="991" spans="1:13" ht="15.75" x14ac:dyDescent="0.3">
      <c r="A991" s="1">
        <v>45358</v>
      </c>
      <c r="B991" t="s">
        <v>9</v>
      </c>
      <c r="C991" t="s">
        <v>16</v>
      </c>
      <c r="D991" t="s">
        <v>10</v>
      </c>
      <c r="E991">
        <v>8</v>
      </c>
      <c r="F991">
        <v>150</v>
      </c>
      <c r="G991" s="2">
        <f t="shared" si="45"/>
        <v>1200</v>
      </c>
      <c r="H991" t="str">
        <f t="shared" si="46"/>
        <v>Low</v>
      </c>
      <c r="I991" t="s">
        <v>14</v>
      </c>
      <c r="L991" t="s">
        <v>9</v>
      </c>
      <c r="M991" s="3">
        <f t="shared" si="47"/>
        <v>1849750</v>
      </c>
    </row>
    <row r="992" spans="1:13" ht="15.75" x14ac:dyDescent="0.3">
      <c r="A992" s="1">
        <v>45432</v>
      </c>
      <c r="B992" t="s">
        <v>19</v>
      </c>
      <c r="C992" t="s">
        <v>22</v>
      </c>
      <c r="D992" t="s">
        <v>20</v>
      </c>
      <c r="E992">
        <v>1</v>
      </c>
      <c r="F992">
        <v>300</v>
      </c>
      <c r="G992" s="2">
        <f t="shared" si="45"/>
        <v>300</v>
      </c>
      <c r="H992" t="str">
        <f t="shared" si="46"/>
        <v>Low</v>
      </c>
      <c r="I992" t="s">
        <v>8</v>
      </c>
      <c r="L992" t="s">
        <v>19</v>
      </c>
      <c r="M992" s="3">
        <f t="shared" si="47"/>
        <v>2179300</v>
      </c>
    </row>
    <row r="993" spans="1:13" ht="15.75" x14ac:dyDescent="0.3">
      <c r="A993" s="1">
        <v>45500</v>
      </c>
      <c r="B993" t="s">
        <v>26</v>
      </c>
      <c r="C993" t="s">
        <v>16</v>
      </c>
      <c r="D993" t="s">
        <v>18</v>
      </c>
      <c r="E993">
        <v>2</v>
      </c>
      <c r="F993">
        <v>8500</v>
      </c>
      <c r="G993" s="2">
        <f t="shared" si="45"/>
        <v>17000</v>
      </c>
      <c r="H993" t="str">
        <f t="shared" si="46"/>
        <v>High</v>
      </c>
      <c r="I993" t="s">
        <v>14</v>
      </c>
      <c r="L993" t="s">
        <v>26</v>
      </c>
      <c r="M993" s="3">
        <f t="shared" si="47"/>
        <v>2430500</v>
      </c>
    </row>
    <row r="994" spans="1:13" ht="15.75" x14ac:dyDescent="0.3">
      <c r="A994" s="1">
        <v>45316</v>
      </c>
      <c r="B994" t="s">
        <v>19</v>
      </c>
      <c r="C994" t="s">
        <v>21</v>
      </c>
      <c r="D994" t="s">
        <v>7</v>
      </c>
      <c r="E994">
        <v>5</v>
      </c>
      <c r="F994">
        <v>3200</v>
      </c>
      <c r="G994" s="2">
        <f t="shared" si="45"/>
        <v>16000</v>
      </c>
      <c r="H994" t="str">
        <f t="shared" si="46"/>
        <v>High</v>
      </c>
      <c r="I994" t="s">
        <v>14</v>
      </c>
      <c r="L994" t="s">
        <v>19</v>
      </c>
      <c r="M994" s="3">
        <f t="shared" si="47"/>
        <v>2179300</v>
      </c>
    </row>
    <row r="995" spans="1:13" ht="15.75" x14ac:dyDescent="0.3">
      <c r="A995" s="1">
        <v>45320</v>
      </c>
      <c r="B995" t="s">
        <v>23</v>
      </c>
      <c r="C995" t="s">
        <v>13</v>
      </c>
      <c r="D995" t="s">
        <v>18</v>
      </c>
      <c r="E995">
        <v>5</v>
      </c>
      <c r="F995">
        <v>150</v>
      </c>
      <c r="G995" s="2">
        <f t="shared" si="45"/>
        <v>750</v>
      </c>
      <c r="H995" t="str">
        <f t="shared" si="46"/>
        <v>Low</v>
      </c>
      <c r="I995" t="s">
        <v>11</v>
      </c>
      <c r="L995" t="s">
        <v>23</v>
      </c>
      <c r="M995" s="3">
        <f t="shared" si="47"/>
        <v>2202100</v>
      </c>
    </row>
    <row r="996" spans="1:13" ht="15.75" x14ac:dyDescent="0.3">
      <c r="A996" s="1">
        <v>45532</v>
      </c>
      <c r="B996" t="s">
        <v>19</v>
      </c>
      <c r="C996" t="s">
        <v>13</v>
      </c>
      <c r="D996" t="s">
        <v>18</v>
      </c>
      <c r="E996">
        <v>8</v>
      </c>
      <c r="F996">
        <v>3200</v>
      </c>
      <c r="G996" s="2">
        <f t="shared" si="45"/>
        <v>25600</v>
      </c>
      <c r="H996" t="str">
        <f t="shared" si="46"/>
        <v>High</v>
      </c>
      <c r="I996" t="s">
        <v>11</v>
      </c>
      <c r="L996" t="s">
        <v>19</v>
      </c>
      <c r="M996" s="3">
        <f t="shared" si="47"/>
        <v>2179300</v>
      </c>
    </row>
    <row r="997" spans="1:13" ht="15.75" x14ac:dyDescent="0.3">
      <c r="A997" s="1">
        <v>45535</v>
      </c>
      <c r="B997" t="s">
        <v>25</v>
      </c>
      <c r="C997" t="s">
        <v>22</v>
      </c>
      <c r="D997" t="s">
        <v>20</v>
      </c>
      <c r="E997">
        <v>7</v>
      </c>
      <c r="F997">
        <v>3200</v>
      </c>
      <c r="G997" s="2">
        <f t="shared" si="45"/>
        <v>22400</v>
      </c>
      <c r="H997" t="str">
        <f t="shared" si="46"/>
        <v>High</v>
      </c>
      <c r="I997" t="s">
        <v>8</v>
      </c>
      <c r="L997" t="s">
        <v>25</v>
      </c>
      <c r="M997" s="3">
        <f t="shared" si="47"/>
        <v>2243250</v>
      </c>
    </row>
    <row r="998" spans="1:13" ht="15.75" x14ac:dyDescent="0.3">
      <c r="A998" s="1">
        <v>45541</v>
      </c>
      <c r="B998" t="s">
        <v>15</v>
      </c>
      <c r="C998" t="s">
        <v>6</v>
      </c>
      <c r="D998" t="s">
        <v>17</v>
      </c>
      <c r="E998">
        <v>4</v>
      </c>
      <c r="F998">
        <v>8500</v>
      </c>
      <c r="G998" s="2">
        <f t="shared" si="45"/>
        <v>34000</v>
      </c>
      <c r="H998" t="str">
        <f t="shared" si="46"/>
        <v>High</v>
      </c>
      <c r="I998" t="s">
        <v>11</v>
      </c>
      <c r="L998" t="s">
        <v>15</v>
      </c>
      <c r="M998" s="3">
        <f t="shared" si="47"/>
        <v>2145050</v>
      </c>
    </row>
    <row r="999" spans="1:13" ht="15.75" x14ac:dyDescent="0.3">
      <c r="A999" s="1">
        <v>45380</v>
      </c>
      <c r="B999" t="s">
        <v>26</v>
      </c>
      <c r="C999" t="s">
        <v>22</v>
      </c>
      <c r="D999" t="s">
        <v>20</v>
      </c>
      <c r="E999">
        <v>6</v>
      </c>
      <c r="F999">
        <v>4500</v>
      </c>
      <c r="G999" s="2">
        <f t="shared" si="45"/>
        <v>27000</v>
      </c>
      <c r="H999" t="str">
        <f t="shared" si="46"/>
        <v>High</v>
      </c>
      <c r="I999" t="s">
        <v>14</v>
      </c>
      <c r="L999" t="s">
        <v>26</v>
      </c>
      <c r="M999" s="3">
        <f t="shared" si="47"/>
        <v>2430500</v>
      </c>
    </row>
    <row r="1000" spans="1:13" ht="15.75" x14ac:dyDescent="0.3">
      <c r="A1000" s="1">
        <v>45363</v>
      </c>
      <c r="B1000" t="s">
        <v>19</v>
      </c>
      <c r="C1000" t="s">
        <v>21</v>
      </c>
      <c r="D1000" t="s">
        <v>18</v>
      </c>
      <c r="E1000">
        <v>9</v>
      </c>
      <c r="F1000">
        <v>8500</v>
      </c>
      <c r="G1000" s="2">
        <f t="shared" si="45"/>
        <v>76500</v>
      </c>
      <c r="H1000" t="str">
        <f t="shared" si="46"/>
        <v>High</v>
      </c>
      <c r="I1000" t="s">
        <v>14</v>
      </c>
      <c r="L1000" t="s">
        <v>19</v>
      </c>
      <c r="M1000" s="3">
        <f t="shared" si="47"/>
        <v>2179300</v>
      </c>
    </row>
    <row r="1001" spans="1:13" ht="15.75" x14ac:dyDescent="0.3">
      <c r="A1001" s="1">
        <v>45608</v>
      </c>
      <c r="B1001" t="s">
        <v>24</v>
      </c>
      <c r="C1001" t="s">
        <v>6</v>
      </c>
      <c r="D1001" t="s">
        <v>18</v>
      </c>
      <c r="E1001">
        <v>2</v>
      </c>
      <c r="F1001">
        <v>3200</v>
      </c>
      <c r="G1001" s="2">
        <f t="shared" si="45"/>
        <v>6400</v>
      </c>
      <c r="H1001" t="str">
        <f t="shared" si="46"/>
        <v>Low</v>
      </c>
      <c r="I1001" t="s">
        <v>14</v>
      </c>
      <c r="L1001" t="s">
        <v>24</v>
      </c>
      <c r="M1001" s="3">
        <f t="shared" si="47"/>
        <v>2514250</v>
      </c>
    </row>
  </sheetData>
  <pageMargins left="0.75" right="0.75" top="1" bottom="1" header="0.5" footer="0.5"/>
  <pageSetup paperSize="9" orientation="portrait" r:id="rId1"/>
  <headerFooter>
    <oddHeader>&amp;C&amp;"Aptos"&amp;8&amp;K000000 C2 - INTERNAL&amp;1#_x000D_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 by region</vt:lpstr>
      <vt:lpstr>total sales by product</vt:lpstr>
      <vt:lpstr>top performing sales person</vt:lpstr>
      <vt:lpstr>Raw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2026-01-24T06:46:47Z</dcterms:created>
  <dcterms:modified xsi:type="dcterms:W3CDTF">2026-02-03T11:43:37Z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82d035-dd95-4f4e-86bb-84bfdb8ec5bf_Enabled">
    <vt:lpwstr>true</vt:lpwstr>
  </property>
  <property fmtid="{D5CDD505-2E9C-101B-9397-08002B2CF9AE}" pid="3" name="MSIP_Label_f982d035-dd95-4f4e-86bb-84bfdb8ec5bf_SetDate">
    <vt:lpwstr>2026-01-24T06:51:36Z</vt:lpwstr>
  </property>
  <property fmtid="{D5CDD505-2E9C-101B-9397-08002B2CF9AE}" pid="4" name="MSIP_Label_f982d035-dd95-4f4e-86bb-84bfdb8ec5bf_Method">
    <vt:lpwstr>Standard</vt:lpwstr>
  </property>
  <property fmtid="{D5CDD505-2E9C-101B-9397-08002B2CF9AE}" pid="5" name="MSIP_Label_f982d035-dd95-4f4e-86bb-84bfdb8ec5bf_Name">
    <vt:lpwstr>C2 - INTERNAL</vt:lpwstr>
  </property>
  <property fmtid="{D5CDD505-2E9C-101B-9397-08002B2CF9AE}" pid="6" name="MSIP_Label_f982d035-dd95-4f4e-86bb-84bfdb8ec5bf_SiteId">
    <vt:lpwstr>66b39f4a-ac3c-4d64-9d48-83fa5e6f3f51</vt:lpwstr>
  </property>
  <property fmtid="{D5CDD505-2E9C-101B-9397-08002B2CF9AE}" pid="7" name="MSIP_Label_f982d035-dd95-4f4e-86bb-84bfdb8ec5bf_ActionId">
    <vt:lpwstr>e071706a-f67d-4add-9423-94d9e88253de</vt:lpwstr>
  </property>
  <property fmtid="{D5CDD505-2E9C-101B-9397-08002B2CF9AE}" pid="8" name="MSIP_Label_f982d035-dd95-4f4e-86bb-84bfdb8ec5bf_ContentBits">
    <vt:lpwstr>1</vt:lpwstr>
  </property>
  <property fmtid="{D5CDD505-2E9C-101B-9397-08002B2CF9AE}" pid="9" name="MSIP_Label_f982d035-dd95-4f4e-86bb-84bfdb8ec5bf_Tag">
    <vt:lpwstr>10, 3, 0, 1</vt:lpwstr>
  </property>
</Properties>
</file>