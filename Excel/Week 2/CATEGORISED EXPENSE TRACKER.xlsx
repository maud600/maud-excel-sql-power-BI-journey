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6815" windowHeight="7635"/>
  </bookViews>
  <sheets>
    <sheet name="CATEGORISED EXPENCE 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3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<sst xmlns="http://schemas.openxmlformats.org/spreadsheetml/2006/main" count="17" uniqueCount="16">
  <si>
    <t>DATE</t>
  </si>
  <si>
    <t>CATEGORY</t>
  </si>
  <si>
    <t>DESCRIOTION</t>
  </si>
  <si>
    <t>AMOUNT</t>
  </si>
  <si>
    <t>TYPE</t>
  </si>
  <si>
    <t>Gifts</t>
  </si>
  <si>
    <t>Mis</t>
  </si>
  <si>
    <t>Food</t>
  </si>
  <si>
    <t>Groceries</t>
  </si>
  <si>
    <t>Bus fare</t>
  </si>
  <si>
    <t>Snacks</t>
  </si>
  <si>
    <t>Electricity</t>
  </si>
  <si>
    <t>Utilities</t>
  </si>
  <si>
    <t>Transport</t>
  </si>
  <si>
    <t>Total Necessities</t>
  </si>
  <si>
    <t>Total Discretionaries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</si>
</sst>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45" zoomScaleNormal="145" workbookViewId="0">
      <selection activeCell="G9" sqref="G9"/>
    </sheetView>
  </sheetViews>
  <sheetFormatPr defaultRowHeight="15" x14ac:dyDescent="0.25"/>
  <cols>
    <col min="1" max="1" width="11.140625" bestFit="1" customWidth="1"/>
    <col min="2" max="2" width="10.28515625" bestFit="1" customWidth="1"/>
    <col min="3" max="3" width="13.140625" bestFit="1" customWidth="1"/>
    <col min="4" max="4" width="9.140625" bestFit="1" customWidth="1"/>
    <col min="5" max="5" width="12.7109375" bestFit="1" customWidth="1"/>
    <col min="7" max="7" width="1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>
        <v>45995</v>
      </c>
      <c r="B2" s="1" t="s">
        <v>7</v>
      </c>
      <c r="C2" s="1" t="s">
        <v>8</v>
      </c>
      <c r="D2" s="1">
        <v>150</v>
      </c>
      <c r="E2" s="1" t="str">
        <f>IF(B2="Food","Necessity",IF(B2="Transport","Necessity",IF(B2="Utilities","Necessity","Discretionary")))</f>
        <v>Necessity</v>
      </c>
    </row>
    <row r="3" spans="1:8" x14ac:dyDescent="0.25">
      <c r="A3" s="2">
        <v>45995</v>
      </c>
      <c r="B3" s="1" t="s">
        <v>13</v>
      </c>
      <c r="C3" s="1" t="s">
        <v>9</v>
      </c>
      <c r="D3" s="1">
        <v>20</v>
      </c>
      <c r="E3" s="1" t="str">
        <f t="shared" ref="E3:E6" si="0">IF(B3="Food","Necessity",IF(B3="Transport","Necessity",IF(B3="Utilities","Necessity","Discretionary")))</f>
        <v>Necessity</v>
      </c>
      <c r="G3" s="4" t="s">
        <v>14</v>
      </c>
      <c r="H3">
        <f>SUMIF(E2:E6,"Necessity",D2:D6)</f>
        <v>520</v>
      </c>
    </row>
    <row r="4" spans="1:8" x14ac:dyDescent="0.25">
      <c r="A4" s="2">
        <v>45995</v>
      </c>
      <c r="B4" s="1" t="s">
        <v>7</v>
      </c>
      <c r="C4" s="1" t="s">
        <v>10</v>
      </c>
      <c r="D4" s="1">
        <v>50</v>
      </c>
      <c r="E4" s="1" t="str">
        <f t="shared" si="0"/>
        <v>Necessity</v>
      </c>
      <c r="G4" s="4" t="s">
        <v>15</v>
      </c>
      <c r="H4">
        <f>SUMIF(E2:E6,"Discretionary",D2:D6)</f>
        <v>100</v>
      </c>
    </row>
    <row r="5" spans="1:8" x14ac:dyDescent="0.25">
      <c r="A5" s="2">
        <v>45995</v>
      </c>
      <c r="B5" s="1" t="s">
        <v>12</v>
      </c>
      <c r="C5" s="1" t="s">
        <v>11</v>
      </c>
      <c r="D5" s="1">
        <v>300</v>
      </c>
      <c r="E5" s="1" t="str">
        <f t="shared" si="0"/>
        <v>Necessity</v>
      </c>
    </row>
    <row r="6" spans="1:8" x14ac:dyDescent="0.25">
      <c r="A6" s="2">
        <v>45995</v>
      </c>
      <c r="B6" s="1" t="s">
        <v>6</v>
      </c>
      <c r="C6" s="1" t="s">
        <v>5</v>
      </c>
      <c r="D6" s="1">
        <v>100</v>
      </c>
      <c r="E6" s="1" t="str">
        <f t="shared" si="0"/>
        <v>Discretionary</v>
      </c>
    </row>
    <row r="7" spans="1:8" x14ac:dyDescent="0.25">
      <c r="A7" s="3"/>
      <c r="B7" s="3"/>
      <c r="C7" s="3"/>
      <c r="D7" s="3"/>
      <c r="E7" s="3"/>
    </row>
    <row r="8" spans="1:8" x14ac:dyDescent="0.25">
      <c r="A8" s="3"/>
      <c r="B8" s="3"/>
      <c r="C8" s="3"/>
      <c r="D8" s="3"/>
      <c r="E8" s="3"/>
    </row>
  </sheetData>
  <conditionalFormatting sqref="D1:D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CATEGORISED EXPENCE TRACKER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2025-12-09T08:52:55Z</dcterms:created>
  <dcterms:modified xsi:type="dcterms:W3CDTF">2025-12-10T16:18:57Z</dcterms:modified>
</cp:coreProperties>
</file>